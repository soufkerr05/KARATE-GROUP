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rmatics\Desktop\Soufiane Fiche\karate\"/>
    </mc:Choice>
  </mc:AlternateContent>
  <xr:revisionPtr revIDLastSave="0" documentId="13_ncr:1_{B78019F3-4B11-4D1C-85A4-97498156731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قائمة الغيياب 2026" sheetId="10" r:id="rId1"/>
    <sheet name="قائمة المستحقات" sheetId="3" r:id="rId2"/>
    <sheet name="Kimono" sheetId="5" r:id="rId3"/>
    <sheet name="قائمة المعلومات" sheetId="2" r:id="rId4"/>
    <sheet name="قائمة الملفات" sheetId="4" r:id="rId5"/>
    <sheet name="Feuil1" sheetId="11" r:id="rId6"/>
    <sheet name="CLS Document" sheetId="6" r:id="rId7"/>
    <sheet name="Samurai Campetition" sheetId="7" r:id="rId8"/>
    <sheet name="KARATE TIME" sheetId="8" r:id="rId9"/>
    <sheet name="قائمة الغيياب 2025" sheetId="1" r:id="rId10"/>
  </sheets>
  <definedNames>
    <definedName name="_xlnm._FilterDatabase" localSheetId="8" hidden="1">'KARATE TIME'!$A$3:$Q$58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O48" i="10" l="1"/>
  <c r="EP48" i="10"/>
  <c r="EQ48" i="10"/>
  <c r="EO49" i="10"/>
  <c r="EP49" i="10"/>
  <c r="EQ49" i="10"/>
  <c r="EO50" i="10"/>
  <c r="EP50" i="10"/>
  <c r="EQ50" i="10"/>
  <c r="EO51" i="10"/>
  <c r="EP51" i="10"/>
  <c r="EQ51" i="10"/>
  <c r="EO52" i="10"/>
  <c r="EP52" i="10"/>
  <c r="EQ52" i="10"/>
  <c r="EO53" i="10"/>
  <c r="EP53" i="10"/>
  <c r="EQ53" i="10"/>
  <c r="EO54" i="10"/>
  <c r="EP54" i="10"/>
  <c r="EQ54" i="10"/>
  <c r="EO55" i="10"/>
  <c r="EP55" i="10"/>
  <c r="EQ55" i="10"/>
  <c r="EO56" i="10"/>
  <c r="EP56" i="10"/>
  <c r="EQ56" i="10"/>
  <c r="EO57" i="10"/>
  <c r="EP57" i="10"/>
  <c r="EQ57" i="10"/>
  <c r="EO58" i="10"/>
  <c r="EP58" i="10"/>
  <c r="EQ58" i="10"/>
  <c r="EO59" i="10"/>
  <c r="EP59" i="10"/>
  <c r="EQ59" i="10"/>
  <c r="EO60" i="10"/>
  <c r="EP60" i="10"/>
  <c r="EQ60" i="10"/>
  <c r="EO61" i="10"/>
  <c r="EP61" i="10"/>
  <c r="EQ61" i="10"/>
  <c r="EO62" i="10"/>
  <c r="EP62" i="10"/>
  <c r="EQ62" i="10"/>
  <c r="EO63" i="10"/>
  <c r="EP63" i="10"/>
  <c r="EQ63" i="10"/>
  <c r="EO64" i="10"/>
  <c r="EP64" i="10"/>
  <c r="EQ64" i="10"/>
  <c r="EO65" i="10"/>
  <c r="EP65" i="10"/>
  <c r="EQ65" i="10"/>
  <c r="EO66" i="10"/>
  <c r="EP66" i="10"/>
  <c r="EQ66" i="10"/>
  <c r="EO67" i="10"/>
  <c r="EP67" i="10"/>
  <c r="EQ67" i="10"/>
  <c r="EO68" i="10"/>
  <c r="EP68" i="10"/>
  <c r="EQ68" i="10"/>
  <c r="EO69" i="10"/>
  <c r="EP69" i="10"/>
  <c r="EQ69" i="10"/>
  <c r="EO70" i="10"/>
  <c r="EP70" i="10"/>
  <c r="EQ70" i="10"/>
  <c r="EO71" i="10"/>
  <c r="EP71" i="10"/>
  <c r="EQ71" i="10"/>
  <c r="EO72" i="10"/>
  <c r="EP72" i="10"/>
  <c r="EQ72" i="10"/>
  <c r="EO73" i="10"/>
  <c r="EP73" i="10"/>
  <c r="EQ73" i="10"/>
  <c r="EO74" i="10"/>
  <c r="EP74" i="10"/>
  <c r="EQ74" i="10"/>
  <c r="EO75" i="10"/>
  <c r="EP75" i="10"/>
  <c r="EQ75" i="10"/>
  <c r="EO76" i="10"/>
  <c r="EP76" i="10"/>
  <c r="EQ76" i="10"/>
  <c r="EO77" i="10"/>
  <c r="EP77" i="10"/>
  <c r="EQ77" i="10"/>
  <c r="EK76" i="10"/>
  <c r="EM76" i="10"/>
  <c r="EK77" i="10"/>
  <c r="EM77" i="10"/>
  <c r="EK78" i="10"/>
  <c r="EO78" i="10" s="1"/>
  <c r="EM78" i="10"/>
  <c r="EK79" i="10"/>
  <c r="EO79" i="10" s="1"/>
  <c r="EM79" i="10"/>
  <c r="EK80" i="10"/>
  <c r="EO80" i="10" s="1"/>
  <c r="EM80" i="10"/>
  <c r="EK81" i="10"/>
  <c r="EO81" i="10" s="1"/>
  <c r="EM81" i="10"/>
  <c r="EK82" i="10"/>
  <c r="EO82" i="10" s="1"/>
  <c r="EM82" i="10"/>
  <c r="EK83" i="10"/>
  <c r="EO83" i="10" s="1"/>
  <c r="EM83" i="10"/>
  <c r="EM75" i="10"/>
  <c r="EK75" i="10"/>
  <c r="EK70" i="10"/>
  <c r="EM70" i="10"/>
  <c r="EK71" i="10"/>
  <c r="EM71" i="10"/>
  <c r="EM31" i="10"/>
  <c r="H197" i="3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EK58" i="10"/>
  <c r="EM58" i="10"/>
  <c r="EK59" i="10"/>
  <c r="EM59" i="10"/>
  <c r="EK60" i="10"/>
  <c r="EM60" i="10"/>
  <c r="EK61" i="10"/>
  <c r="EM61" i="10"/>
  <c r="EK62" i="10"/>
  <c r="EM62" i="10"/>
  <c r="EK63" i="10"/>
  <c r="EM63" i="10"/>
  <c r="EK64" i="10"/>
  <c r="EM64" i="10"/>
  <c r="EK65" i="10"/>
  <c r="EM65" i="10"/>
  <c r="EK66" i="10"/>
  <c r="EM66" i="10"/>
  <c r="EK67" i="10"/>
  <c r="EM67" i="10"/>
  <c r="EK68" i="10"/>
  <c r="EM68" i="10"/>
  <c r="EK69" i="10"/>
  <c r="EM69" i="10"/>
  <c r="EK72" i="10"/>
  <c r="EM72" i="10"/>
  <c r="EK73" i="10"/>
  <c r="EM73" i="10"/>
  <c r="EK74" i="10"/>
  <c r="EM74" i="10"/>
  <c r="R84" i="10"/>
  <c r="S84" i="10"/>
  <c r="T84" i="10"/>
  <c r="Q84" i="10"/>
  <c r="Z24" i="5"/>
  <c r="EK48" i="10"/>
  <c r="EM48" i="10"/>
  <c r="EK49" i="10"/>
  <c r="EM49" i="10"/>
  <c r="EK50" i="10"/>
  <c r="EM50" i="10"/>
  <c r="EK51" i="10"/>
  <c r="EM51" i="10"/>
  <c r="EK52" i="10"/>
  <c r="EM52" i="10"/>
  <c r="EK53" i="10"/>
  <c r="EM53" i="10"/>
  <c r="EK54" i="10"/>
  <c r="EM54" i="10"/>
  <c r="EK55" i="10"/>
  <c r="EM55" i="10"/>
  <c r="EK56" i="10"/>
  <c r="EM56" i="10"/>
  <c r="EK57" i="10"/>
  <c r="EM57" i="10"/>
  <c r="EK46" i="10"/>
  <c r="EM46" i="10"/>
  <c r="EK47" i="10"/>
  <c r="EM47" i="10"/>
  <c r="P84" i="10"/>
  <c r="O84" i="10"/>
  <c r="N84" i="10"/>
  <c r="M84" i="10"/>
  <c r="L84" i="10"/>
  <c r="K84" i="10"/>
  <c r="J84" i="10"/>
  <c r="I84" i="10"/>
  <c r="H84" i="10"/>
  <c r="G84" i="10"/>
  <c r="EM8" i="10"/>
  <c r="EM9" i="10"/>
  <c r="EM10" i="10"/>
  <c r="EM11" i="10"/>
  <c r="EM12" i="10"/>
  <c r="EM13" i="10"/>
  <c r="EM14" i="10"/>
  <c r="EM15" i="10"/>
  <c r="EM16" i="10"/>
  <c r="EM17" i="10"/>
  <c r="EM18" i="10"/>
  <c r="EM19" i="10"/>
  <c r="EM20" i="10"/>
  <c r="EM21" i="10"/>
  <c r="EM22" i="10"/>
  <c r="EM23" i="10"/>
  <c r="EM24" i="10"/>
  <c r="EM25" i="10"/>
  <c r="EM26" i="10"/>
  <c r="EM27" i="10"/>
  <c r="EM28" i="10"/>
  <c r="EM29" i="10"/>
  <c r="EM30" i="10"/>
  <c r="EM32" i="10"/>
  <c r="EM33" i="10"/>
  <c r="EM34" i="10"/>
  <c r="EM35" i="10"/>
  <c r="EM36" i="10"/>
  <c r="EM37" i="10"/>
  <c r="EM38" i="10"/>
  <c r="EM39" i="10"/>
  <c r="EM40" i="10"/>
  <c r="EM41" i="10"/>
  <c r="EM42" i="10"/>
  <c r="EM43" i="10"/>
  <c r="EM44" i="10"/>
  <c r="EM45" i="10"/>
  <c r="EM7" i="10"/>
  <c r="E84" i="10"/>
  <c r="DH85" i="10"/>
  <c r="CT85" i="10"/>
  <c r="EJ84" i="10"/>
  <c r="EJ85" i="10" s="1"/>
  <c r="EI84" i="10"/>
  <c r="EI85" i="10" s="1"/>
  <c r="EH84" i="10"/>
  <c r="EH85" i="10" s="1"/>
  <c r="EG84" i="10"/>
  <c r="EG85" i="10" s="1"/>
  <c r="EF84" i="10"/>
  <c r="EF85" i="10" s="1"/>
  <c r="EE84" i="10"/>
  <c r="EE85" i="10" s="1"/>
  <c r="ED84" i="10"/>
  <c r="ED85" i="10" s="1"/>
  <c r="EC84" i="10"/>
  <c r="EC85" i="10" s="1"/>
  <c r="EB84" i="10"/>
  <c r="EB85" i="10" s="1"/>
  <c r="EA84" i="10"/>
  <c r="EA85" i="10" s="1"/>
  <c r="DZ84" i="10"/>
  <c r="DZ85" i="10" s="1"/>
  <c r="DY84" i="10"/>
  <c r="DY85" i="10" s="1"/>
  <c r="DX84" i="10"/>
  <c r="DX85" i="10" s="1"/>
  <c r="DW84" i="10"/>
  <c r="DW85" i="10" s="1"/>
  <c r="DV84" i="10"/>
  <c r="DV85" i="10" s="1"/>
  <c r="DU84" i="10"/>
  <c r="DU85" i="10" s="1"/>
  <c r="DT84" i="10"/>
  <c r="DT85" i="10" s="1"/>
  <c r="DS84" i="10"/>
  <c r="DS85" i="10" s="1"/>
  <c r="DR84" i="10"/>
  <c r="DR85" i="10" s="1"/>
  <c r="DQ84" i="10"/>
  <c r="DQ85" i="10" s="1"/>
  <c r="DP84" i="10"/>
  <c r="DP85" i="10" s="1"/>
  <c r="DO84" i="10"/>
  <c r="DO85" i="10" s="1"/>
  <c r="DN84" i="10"/>
  <c r="DN85" i="10" s="1"/>
  <c r="DM84" i="10"/>
  <c r="DM85" i="10" s="1"/>
  <c r="DL84" i="10"/>
  <c r="DL85" i="10" s="1"/>
  <c r="DK84" i="10"/>
  <c r="DK85" i="10" s="1"/>
  <c r="DJ84" i="10"/>
  <c r="DJ85" i="10" s="1"/>
  <c r="DI84" i="10"/>
  <c r="DI85" i="10" s="1"/>
  <c r="DG84" i="10"/>
  <c r="DG85" i="10" s="1"/>
  <c r="DF84" i="10"/>
  <c r="DF85" i="10" s="1"/>
  <c r="DE84" i="10"/>
  <c r="DE85" i="10" s="1"/>
  <c r="DD84" i="10"/>
  <c r="DD85" i="10" s="1"/>
  <c r="DC84" i="10"/>
  <c r="DC85" i="10" s="1"/>
  <c r="DB84" i="10"/>
  <c r="DB85" i="10" s="1"/>
  <c r="DA84" i="10"/>
  <c r="DA85" i="10" s="1"/>
  <c r="CZ84" i="10"/>
  <c r="CZ85" i="10" s="1"/>
  <c r="CY84" i="10"/>
  <c r="CY85" i="10" s="1"/>
  <c r="CX84" i="10"/>
  <c r="CX85" i="10" s="1"/>
  <c r="CW84" i="10"/>
  <c r="CW85" i="10" s="1"/>
  <c r="CV84" i="10"/>
  <c r="CV85" i="10" s="1"/>
  <c r="CU84" i="10"/>
  <c r="CU85" i="10" s="1"/>
  <c r="CS84" i="10"/>
  <c r="CS85" i="10" s="1"/>
  <c r="CR84" i="10"/>
  <c r="CR85" i="10" s="1"/>
  <c r="CQ84" i="10"/>
  <c r="CQ85" i="10" s="1"/>
  <c r="CP84" i="10"/>
  <c r="CP85" i="10" s="1"/>
  <c r="CO84" i="10"/>
  <c r="CO85" i="10" s="1"/>
  <c r="CN84" i="10"/>
  <c r="CN85" i="10" s="1"/>
  <c r="CM84" i="10"/>
  <c r="CM85" i="10" s="1"/>
  <c r="CL84" i="10"/>
  <c r="CL85" i="10" s="1"/>
  <c r="CK84" i="10"/>
  <c r="CK85" i="10" s="1"/>
  <c r="CI84" i="10"/>
  <c r="CI85" i="10" s="1"/>
  <c r="CH84" i="10"/>
  <c r="CH85" i="10" s="1"/>
  <c r="CG84" i="10"/>
  <c r="CG85" i="10" s="1"/>
  <c r="CF84" i="10"/>
  <c r="CF85" i="10" s="1"/>
  <c r="CE84" i="10"/>
  <c r="CE85" i="10" s="1"/>
  <c r="CD84" i="10"/>
  <c r="CD85" i="10" s="1"/>
  <c r="CC84" i="10"/>
  <c r="CC85" i="10" s="1"/>
  <c r="CB84" i="10"/>
  <c r="CB85" i="10" s="1"/>
  <c r="CA84" i="10"/>
  <c r="CA85" i="10" s="1"/>
  <c r="BZ84" i="10"/>
  <c r="BZ85" i="10" s="1"/>
  <c r="BX84" i="10"/>
  <c r="BX85" i="10" s="1"/>
  <c r="BW84" i="10"/>
  <c r="BW85" i="10" s="1"/>
  <c r="BV84" i="10"/>
  <c r="BV85" i="10" s="1"/>
  <c r="BU84" i="10"/>
  <c r="BU85" i="10" s="1"/>
  <c r="BT84" i="10"/>
  <c r="BT85" i="10" s="1"/>
  <c r="BS84" i="10"/>
  <c r="BS85" i="10" s="1"/>
  <c r="BR84" i="10"/>
  <c r="BR85" i="10" s="1"/>
  <c r="BQ84" i="10"/>
  <c r="BQ85" i="10" s="1"/>
  <c r="BP84" i="10"/>
  <c r="BP85" i="10" s="1"/>
  <c r="BO84" i="10"/>
  <c r="BO85" i="10" s="1"/>
  <c r="BN84" i="10"/>
  <c r="BN85" i="10" s="1"/>
  <c r="BM84" i="10"/>
  <c r="BM85" i="10" s="1"/>
  <c r="BL84" i="10"/>
  <c r="BL85" i="10" s="1"/>
  <c r="BK84" i="10"/>
  <c r="BK85" i="10" s="1"/>
  <c r="BJ84" i="10"/>
  <c r="BJ85" i="10" s="1"/>
  <c r="BI84" i="10"/>
  <c r="BH84" i="10"/>
  <c r="BG84" i="10"/>
  <c r="BF84" i="10"/>
  <c r="BE84" i="10"/>
  <c r="BD84" i="10"/>
  <c r="BC84" i="10"/>
  <c r="BB84" i="10"/>
  <c r="BA84" i="10"/>
  <c r="AZ84" i="10"/>
  <c r="AY84" i="10"/>
  <c r="AX84" i="10"/>
  <c r="AW84" i="10"/>
  <c r="AV84" i="10"/>
  <c r="AU84" i="10"/>
  <c r="AT84" i="10"/>
  <c r="AS84" i="10"/>
  <c r="AR84" i="10"/>
  <c r="AQ84" i="10"/>
  <c r="AP84" i="10"/>
  <c r="AO84" i="10"/>
  <c r="AN84" i="10"/>
  <c r="AM84" i="10"/>
  <c r="AL84" i="10"/>
  <c r="AK84" i="10"/>
  <c r="AJ84" i="10"/>
  <c r="AI84" i="10"/>
  <c r="F84" i="10"/>
  <c r="EK45" i="10"/>
  <c r="EK44" i="10"/>
  <c r="EK43" i="10"/>
  <c r="EK42" i="10"/>
  <c r="EK41" i="10"/>
  <c r="EK40" i="10"/>
  <c r="EK39" i="10"/>
  <c r="EK38" i="10"/>
  <c r="EK37" i="10"/>
  <c r="EK36" i="10"/>
  <c r="EK35" i="10"/>
  <c r="EK34" i="10"/>
  <c r="EK33" i="10"/>
  <c r="EK32" i="10"/>
  <c r="EK31" i="10"/>
  <c r="EK30" i="10"/>
  <c r="EK29" i="10"/>
  <c r="EK28" i="10"/>
  <c r="EK27" i="10"/>
  <c r="EK26" i="10"/>
  <c r="EK25" i="10"/>
  <c r="EK24" i="10"/>
  <c r="EK23" i="10"/>
  <c r="EK22" i="10"/>
  <c r="EK21" i="10"/>
  <c r="EK20" i="10"/>
  <c r="EK19" i="10"/>
  <c r="EK18" i="10"/>
  <c r="EK17" i="10"/>
  <c r="EK16" i="10"/>
  <c r="EK15" i="10"/>
  <c r="EK14" i="10"/>
  <c r="EK13" i="10"/>
  <c r="EK12" i="10"/>
  <c r="EK11" i="10"/>
  <c r="EK10" i="10"/>
  <c r="EK9" i="10"/>
  <c r="EK8" i="10"/>
  <c r="EK7" i="10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CW72" i="1"/>
  <c r="CX72" i="1"/>
  <c r="CY72" i="1"/>
  <c r="CZ72" i="1"/>
  <c r="DA72" i="1"/>
  <c r="DB72" i="1"/>
  <c r="DC72" i="1"/>
  <c r="DD72" i="1"/>
  <c r="DE72" i="1"/>
  <c r="DF72" i="1"/>
  <c r="DG72" i="1"/>
  <c r="DH72" i="1"/>
  <c r="DI72" i="1"/>
  <c r="DJ72" i="1"/>
  <c r="DK72" i="1"/>
  <c r="DL72" i="1"/>
  <c r="DM72" i="1"/>
  <c r="DN72" i="1"/>
  <c r="DO72" i="1"/>
  <c r="DP72" i="1"/>
  <c r="DQ72" i="1"/>
  <c r="DR72" i="1"/>
  <c r="DS72" i="1"/>
  <c r="DT72" i="1"/>
  <c r="DU72" i="1"/>
  <c r="DV72" i="1"/>
  <c r="DW72" i="1"/>
  <c r="DX72" i="1"/>
  <c r="DY72" i="1"/>
  <c r="ED68" i="1"/>
  <c r="EB68" i="1"/>
  <c r="ED67" i="1"/>
  <c r="EB67" i="1"/>
  <c r="ED66" i="1"/>
  <c r="EB66" i="1"/>
  <c r="ED65" i="1"/>
  <c r="EB65" i="1"/>
  <c r="DZ71" i="1"/>
  <c r="DZ72" i="1" s="1"/>
  <c r="DL71" i="1"/>
  <c r="DK71" i="1"/>
  <c r="DJ71" i="1"/>
  <c r="DI71" i="1"/>
  <c r="DH71" i="1"/>
  <c r="DG71" i="1"/>
  <c r="DF71" i="1"/>
  <c r="DE71" i="1"/>
  <c r="DD71" i="1"/>
  <c r="DC71" i="1"/>
  <c r="DB71" i="1"/>
  <c r="DA71" i="1"/>
  <c r="CZ71" i="1"/>
  <c r="EB63" i="1"/>
  <c r="ED63" i="1"/>
  <c r="EB64" i="1"/>
  <c r="ED64" i="1"/>
  <c r="EB69" i="1"/>
  <c r="ED69" i="1"/>
  <c r="EB70" i="1"/>
  <c r="ED70" i="1"/>
  <c r="C59" i="8"/>
  <c r="D59" i="8"/>
  <c r="E59" i="8"/>
  <c r="F59" i="8"/>
  <c r="G59" i="8"/>
  <c r="H59" i="8"/>
  <c r="I59" i="8"/>
  <c r="J59" i="8"/>
  <c r="K59" i="8"/>
  <c r="B59" i="8"/>
  <c r="R3" i="7"/>
  <c r="R2" i="7"/>
  <c r="R6" i="7"/>
  <c r="T6" i="7" s="1"/>
  <c r="R7" i="7"/>
  <c r="R8" i="7"/>
  <c r="R9" i="7"/>
  <c r="R5" i="7"/>
  <c r="R10" i="7"/>
  <c r="R12" i="7"/>
  <c r="T12" i="7" s="1"/>
  <c r="R13" i="7"/>
  <c r="T13" i="7" s="1"/>
  <c r="R14" i="7"/>
  <c r="T14" i="7" s="1"/>
  <c r="R15" i="7"/>
  <c r="R16" i="7"/>
  <c r="R17" i="7"/>
  <c r="R18" i="7"/>
  <c r="R19" i="7"/>
  <c r="T19" i="7" s="1"/>
  <c r="R20" i="7"/>
  <c r="R21" i="7"/>
  <c r="T21" i="7" s="1"/>
  <c r="R22" i="7"/>
  <c r="R23" i="7"/>
  <c r="T23" i="7" s="1"/>
  <c r="R24" i="7"/>
  <c r="T24" i="7" s="1"/>
  <c r="R25" i="7"/>
  <c r="T25" i="7" s="1"/>
  <c r="R26" i="7"/>
  <c r="T26" i="7" s="1"/>
  <c r="R11" i="7"/>
  <c r="R27" i="7"/>
  <c r="R28" i="7"/>
  <c r="R29" i="7"/>
  <c r="R30" i="7"/>
  <c r="T30" i="7" s="1"/>
  <c r="R31" i="7"/>
  <c r="R32" i="7"/>
  <c r="T32" i="7" s="1"/>
  <c r="R33" i="7"/>
  <c r="R34" i="7"/>
  <c r="T34" i="7" s="1"/>
  <c r="R35" i="7"/>
  <c r="T35" i="7" s="1"/>
  <c r="R36" i="7"/>
  <c r="T36" i="7" s="1"/>
  <c r="R37" i="7"/>
  <c r="T37" i="7" s="1"/>
  <c r="R38" i="7"/>
  <c r="T38" i="7" s="1"/>
  <c r="R39" i="7"/>
  <c r="R40" i="7"/>
  <c r="R41" i="7"/>
  <c r="R42" i="7"/>
  <c r="T42" i="7" s="1"/>
  <c r="R43" i="7"/>
  <c r="R44" i="7"/>
  <c r="R45" i="7"/>
  <c r="T45" i="7" s="1"/>
  <c r="R46" i="7"/>
  <c r="T46" i="7" s="1"/>
  <c r="R47" i="7"/>
  <c r="R48" i="7"/>
  <c r="T48" i="7" s="1"/>
  <c r="R49" i="7"/>
  <c r="T49" i="7" s="1"/>
  <c r="R50" i="7"/>
  <c r="T50" i="7" s="1"/>
  <c r="R51" i="7"/>
  <c r="R52" i="7"/>
  <c r="R53" i="7"/>
  <c r="R54" i="7"/>
  <c r="R55" i="7"/>
  <c r="R56" i="7"/>
  <c r="R57" i="7"/>
  <c r="R58" i="7"/>
  <c r="R59" i="7"/>
  <c r="T59" i="7" s="1"/>
  <c r="R60" i="7"/>
  <c r="T60" i="7" s="1"/>
  <c r="R61" i="7"/>
  <c r="T61" i="7" s="1"/>
  <c r="R62" i="7"/>
  <c r="T62" i="7" s="1"/>
  <c r="R63" i="7"/>
  <c r="R64" i="7"/>
  <c r="R65" i="7"/>
  <c r="R66" i="7"/>
  <c r="T66" i="7" s="1"/>
  <c r="R67" i="7"/>
  <c r="R68" i="7"/>
  <c r="T68" i="7" s="1"/>
  <c r="R69" i="7"/>
  <c r="T69" i="7" s="1"/>
  <c r="R70" i="7"/>
  <c r="T70" i="7" s="1"/>
  <c r="R71" i="7"/>
  <c r="T71" i="7" s="1"/>
  <c r="R72" i="7"/>
  <c r="T72" i="7" s="1"/>
  <c r="R73" i="7"/>
  <c r="T73" i="7" s="1"/>
  <c r="R74" i="7"/>
  <c r="T74" i="7" s="1"/>
  <c r="R75" i="7"/>
  <c r="R76" i="7"/>
  <c r="R77" i="7"/>
  <c r="R78" i="7"/>
  <c r="R79" i="7"/>
  <c r="R80" i="7"/>
  <c r="R81" i="7"/>
  <c r="R82" i="7"/>
  <c r="R83" i="7"/>
  <c r="T83" i="7" s="1"/>
  <c r="R84" i="7"/>
  <c r="T84" i="7" s="1"/>
  <c r="R85" i="7"/>
  <c r="T85" i="7" s="1"/>
  <c r="R86" i="7"/>
  <c r="R87" i="7"/>
  <c r="R88" i="7"/>
  <c r="R89" i="7"/>
  <c r="R90" i="7"/>
  <c r="R91" i="7"/>
  <c r="R92" i="7"/>
  <c r="T92" i="7" s="1"/>
  <c r="R93" i="7"/>
  <c r="T93" i="7" s="1"/>
  <c r="R94" i="7"/>
  <c r="T94" i="7" s="1"/>
  <c r="R95" i="7"/>
  <c r="T95" i="7" s="1"/>
  <c r="R4" i="7"/>
  <c r="T4" i="7" s="1"/>
  <c r="T27" i="7"/>
  <c r="T43" i="7"/>
  <c r="T63" i="7"/>
  <c r="T64" i="7"/>
  <c r="T65" i="7"/>
  <c r="T28" i="7"/>
  <c r="T67" i="7"/>
  <c r="T44" i="7"/>
  <c r="T56" i="7"/>
  <c r="T3" i="7"/>
  <c r="T7" i="7"/>
  <c r="T29" i="7"/>
  <c r="T75" i="7"/>
  <c r="T76" i="7"/>
  <c r="T57" i="7"/>
  <c r="T53" i="7"/>
  <c r="T77" i="7"/>
  <c r="T40" i="7"/>
  <c r="T55" i="7"/>
  <c r="T78" i="7"/>
  <c r="T79" i="7"/>
  <c r="T80" i="7"/>
  <c r="T31" i="7"/>
  <c r="T11" i="7"/>
  <c r="T15" i="7"/>
  <c r="T81" i="7"/>
  <c r="T82" i="7"/>
  <c r="T16" i="7"/>
  <c r="T17" i="7"/>
  <c r="T58" i="7"/>
  <c r="T86" i="7"/>
  <c r="T87" i="7"/>
  <c r="T51" i="7"/>
  <c r="T88" i="7"/>
  <c r="T89" i="7"/>
  <c r="T90" i="7"/>
  <c r="T18" i="7"/>
  <c r="T8" i="7"/>
  <c r="T9" i="7"/>
  <c r="T5" i="7"/>
  <c r="T91" i="7"/>
  <c r="T20" i="7"/>
  <c r="T10" i="7"/>
  <c r="T2" i="7"/>
  <c r="T33" i="7"/>
  <c r="T22" i="7"/>
  <c r="T39" i="7"/>
  <c r="T41" i="7"/>
  <c r="T47" i="7"/>
  <c r="T52" i="7"/>
  <c r="T54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EB11" i="1"/>
  <c r="EB14" i="1"/>
  <c r="EB23" i="1"/>
  <c r="EB27" i="1"/>
  <c r="EB28" i="1"/>
  <c r="EB33" i="1"/>
  <c r="EB39" i="1"/>
  <c r="EB41" i="1"/>
  <c r="EB42" i="1"/>
  <c r="EB45" i="1"/>
  <c r="EB50" i="1"/>
  <c r="EB51" i="1"/>
  <c r="EB52" i="1"/>
  <c r="EB53" i="1"/>
  <c r="EB54" i="1"/>
  <c r="EB57" i="1"/>
  <c r="EB58" i="1"/>
  <c r="EB59" i="1"/>
  <c r="EB60" i="1"/>
  <c r="EB61" i="1"/>
  <c r="EB62" i="1"/>
  <c r="EB7" i="1"/>
  <c r="CX71" i="1"/>
  <c r="CW71" i="1"/>
  <c r="CV71" i="1"/>
  <c r="CU71" i="1"/>
  <c r="CT71" i="1"/>
  <c r="CS71" i="1"/>
  <c r="CR71" i="1"/>
  <c r="CQ71" i="1"/>
  <c r="CP71" i="1"/>
  <c r="CO71" i="1"/>
  <c r="CN71" i="1"/>
  <c r="CM71" i="1"/>
  <c r="CL71" i="1"/>
  <c r="ED58" i="1"/>
  <c r="ED59" i="1"/>
  <c r="ED60" i="1"/>
  <c r="ED61" i="1"/>
  <c r="ED62" i="1"/>
  <c r="ED57" i="1"/>
  <c r="DY71" i="1"/>
  <c r="BT71" i="1"/>
  <c r="BT72" i="1" s="1"/>
  <c r="BU71" i="1"/>
  <c r="BU72" i="1" s="1"/>
  <c r="BV71" i="1"/>
  <c r="BV72" i="1" s="1"/>
  <c r="BW71" i="1"/>
  <c r="BW72" i="1" s="1"/>
  <c r="BX71" i="1"/>
  <c r="BX72" i="1" s="1"/>
  <c r="BY71" i="1"/>
  <c r="BY72" i="1" s="1"/>
  <c r="BZ71" i="1"/>
  <c r="BZ72" i="1" s="1"/>
  <c r="DV71" i="1"/>
  <c r="DW71" i="1"/>
  <c r="DX71" i="1"/>
  <c r="ED54" i="1"/>
  <c r="EB55" i="1"/>
  <c r="ED55" i="1"/>
  <c r="EB56" i="1"/>
  <c r="ED56" i="1"/>
  <c r="ED53" i="1"/>
  <c r="ED52" i="1"/>
  <c r="ED51" i="1"/>
  <c r="CJ71" i="1"/>
  <c r="CI71" i="1"/>
  <c r="CH71" i="1"/>
  <c r="CG71" i="1"/>
  <c r="CF71" i="1"/>
  <c r="CE71" i="1"/>
  <c r="CD71" i="1"/>
  <c r="CC71" i="1"/>
  <c r="CB71" i="1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2" i="7"/>
  <c r="ED45" i="1"/>
  <c r="EB46" i="1"/>
  <c r="ED46" i="1"/>
  <c r="EB47" i="1"/>
  <c r="ED47" i="1"/>
  <c r="EB48" i="1"/>
  <c r="ED48" i="1"/>
  <c r="EB49" i="1"/>
  <c r="ED49" i="1"/>
  <c r="Q49" i="5"/>
  <c r="W10" i="5" s="1"/>
  <c r="S49" i="5"/>
  <c r="Y10" i="5" s="1"/>
  <c r="R49" i="5"/>
  <c r="X10" i="5" s="1"/>
  <c r="N49" i="5"/>
  <c r="Y9" i="5" s="1"/>
  <c r="M49" i="5"/>
  <c r="L49" i="5"/>
  <c r="I49" i="5"/>
  <c r="Y8" i="5" s="1"/>
  <c r="H49" i="5"/>
  <c r="X8" i="5" s="1"/>
  <c r="G49" i="5"/>
  <c r="W8" i="5" s="1"/>
  <c r="B49" i="5"/>
  <c r="W7" i="5" s="1"/>
  <c r="C49" i="5"/>
  <c r="X7" i="5" s="1"/>
  <c r="D49" i="5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A72" i="1" s="1"/>
  <c r="DQ71" i="1"/>
  <c r="DR71" i="1"/>
  <c r="DS71" i="1"/>
  <c r="DT71" i="1"/>
  <c r="EA71" i="1"/>
  <c r="EA72" i="1" s="1"/>
  <c r="ED41" i="1"/>
  <c r="ED42" i="1"/>
  <c r="EB43" i="1"/>
  <c r="ED43" i="1"/>
  <c r="EB44" i="1"/>
  <c r="ED44" i="1"/>
  <c r="ED50" i="1"/>
  <c r="ED40" i="1"/>
  <c r="EB40" i="1"/>
  <c r="DN71" i="1"/>
  <c r="DO71" i="1"/>
  <c r="DP71" i="1"/>
  <c r="BS71" i="1"/>
  <c r="BS72" i="1" s="1"/>
  <c r="BR71" i="1"/>
  <c r="BR72" i="1" s="1"/>
  <c r="BQ71" i="1"/>
  <c r="BQ72" i="1" s="1"/>
  <c r="BB71" i="1"/>
  <c r="BB72" i="1" s="1"/>
  <c r="BC71" i="1"/>
  <c r="BC72" i="1" s="1"/>
  <c r="BD71" i="1"/>
  <c r="BD72" i="1" s="1"/>
  <c r="BE71" i="1"/>
  <c r="BE72" i="1" s="1"/>
  <c r="BF71" i="1"/>
  <c r="BF72" i="1" s="1"/>
  <c r="BG71" i="1"/>
  <c r="BG72" i="1" s="1"/>
  <c r="BH71" i="1"/>
  <c r="BH72" i="1" s="1"/>
  <c r="BI71" i="1"/>
  <c r="BI72" i="1" s="1"/>
  <c r="BJ71" i="1"/>
  <c r="BJ72" i="1" s="1"/>
  <c r="BK71" i="1"/>
  <c r="BK72" i="1" s="1"/>
  <c r="BL71" i="1"/>
  <c r="BL72" i="1" s="1"/>
  <c r="BM71" i="1"/>
  <c r="BM72" i="1" s="1"/>
  <c r="BN71" i="1"/>
  <c r="BN72" i="1" s="1"/>
  <c r="BO71" i="1"/>
  <c r="BO72" i="1" s="1"/>
  <c r="DM71" i="1"/>
  <c r="ED8" i="1"/>
  <c r="EB8" i="1"/>
  <c r="ED9" i="1"/>
  <c r="EB9" i="1"/>
  <c r="ED10" i="1"/>
  <c r="EB10" i="1"/>
  <c r="ED11" i="1"/>
  <c r="ED12" i="1"/>
  <c r="EB12" i="1"/>
  <c r="ED13" i="1"/>
  <c r="EB13" i="1"/>
  <c r="ED14" i="1"/>
  <c r="ED15" i="1"/>
  <c r="EB15" i="1"/>
  <c r="ED16" i="1"/>
  <c r="EB16" i="1"/>
  <c r="ED17" i="1"/>
  <c r="EB17" i="1"/>
  <c r="ED18" i="1"/>
  <c r="EB18" i="1"/>
  <c r="ED19" i="1"/>
  <c r="EB19" i="1"/>
  <c r="ED20" i="1"/>
  <c r="EB20" i="1"/>
  <c r="ED21" i="1"/>
  <c r="EB21" i="1"/>
  <c r="ED22" i="1"/>
  <c r="EB22" i="1"/>
  <c r="ED23" i="1"/>
  <c r="ED24" i="1"/>
  <c r="EB24" i="1"/>
  <c r="ED25" i="1"/>
  <c r="EB25" i="1"/>
  <c r="ED26" i="1"/>
  <c r="EB26" i="1"/>
  <c r="ED27" i="1"/>
  <c r="ED28" i="1"/>
  <c r="ED29" i="1"/>
  <c r="EB29" i="1"/>
  <c r="ED30" i="1"/>
  <c r="EB30" i="1"/>
  <c r="ED31" i="1"/>
  <c r="EB31" i="1"/>
  <c r="ED32" i="1"/>
  <c r="EB32" i="1"/>
  <c r="ED33" i="1"/>
  <c r="ED34" i="1"/>
  <c r="EB34" i="1"/>
  <c r="ED35" i="1"/>
  <c r="EB35" i="1"/>
  <c r="ED36" i="1"/>
  <c r="EB36" i="1"/>
  <c r="ED37" i="1"/>
  <c r="EB37" i="1"/>
  <c r="ED38" i="1"/>
  <c r="EB38" i="1"/>
  <c r="ED39" i="1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D197" i="3"/>
  <c r="G114" i="2"/>
  <c r="ED7" i="1"/>
  <c r="J46" i="4"/>
  <c r="I46" i="4"/>
  <c r="B46" i="4"/>
  <c r="J47" i="4"/>
  <c r="I47" i="4"/>
  <c r="B47" i="4"/>
  <c r="J48" i="4"/>
  <c r="I48" i="4"/>
  <c r="B48" i="4"/>
  <c r="J5" i="4"/>
  <c r="I5" i="4"/>
  <c r="J6" i="4"/>
  <c r="I6" i="4"/>
  <c r="J7" i="4"/>
  <c r="I7" i="4"/>
  <c r="J8" i="4"/>
  <c r="I8" i="4"/>
  <c r="B8" i="4"/>
  <c r="J9" i="4"/>
  <c r="I9" i="4"/>
  <c r="J10" i="4"/>
  <c r="I10" i="4"/>
  <c r="J11" i="4"/>
  <c r="I11" i="4"/>
  <c r="J12" i="4"/>
  <c r="I12" i="4"/>
  <c r="J13" i="4"/>
  <c r="I13" i="4"/>
  <c r="J14" i="4"/>
  <c r="I14" i="4"/>
  <c r="J15" i="4"/>
  <c r="I15" i="4"/>
  <c r="J16" i="4"/>
  <c r="I16" i="4"/>
  <c r="B16" i="4"/>
  <c r="J17" i="4"/>
  <c r="I17" i="4"/>
  <c r="J18" i="4"/>
  <c r="I18" i="4"/>
  <c r="J19" i="4"/>
  <c r="I19" i="4"/>
  <c r="J20" i="4"/>
  <c r="I20" i="4"/>
  <c r="B20" i="4"/>
  <c r="J21" i="4"/>
  <c r="I21" i="4"/>
  <c r="J22" i="4"/>
  <c r="I22" i="4"/>
  <c r="J23" i="4"/>
  <c r="I23" i="4"/>
  <c r="J24" i="4"/>
  <c r="I24" i="4"/>
  <c r="B24" i="4"/>
  <c r="J25" i="4"/>
  <c r="I25" i="4"/>
  <c r="J26" i="4"/>
  <c r="I26" i="4"/>
  <c r="J27" i="4"/>
  <c r="I27" i="4"/>
  <c r="J28" i="4"/>
  <c r="I28" i="4"/>
  <c r="J29" i="4"/>
  <c r="I29" i="4"/>
  <c r="J30" i="4"/>
  <c r="I30" i="4"/>
  <c r="J31" i="4"/>
  <c r="I31" i="4"/>
  <c r="J32" i="4"/>
  <c r="I32" i="4"/>
  <c r="B32" i="4"/>
  <c r="J33" i="4"/>
  <c r="I33" i="4"/>
  <c r="J34" i="4"/>
  <c r="I34" i="4"/>
  <c r="J35" i="4"/>
  <c r="I35" i="4"/>
  <c r="J36" i="4"/>
  <c r="I36" i="4"/>
  <c r="B36" i="4"/>
  <c r="J37" i="4"/>
  <c r="I37" i="4"/>
  <c r="J38" i="4"/>
  <c r="I38" i="4"/>
  <c r="J39" i="4"/>
  <c r="I39" i="4"/>
  <c r="J40" i="4"/>
  <c r="I40" i="4"/>
  <c r="B40" i="4"/>
  <c r="J41" i="4"/>
  <c r="I41" i="4"/>
  <c r="J42" i="4"/>
  <c r="I42" i="4"/>
  <c r="J43" i="4"/>
  <c r="I43" i="4"/>
  <c r="J44" i="4"/>
  <c r="I44" i="4"/>
  <c r="B44" i="4"/>
  <c r="J45" i="4"/>
  <c r="I45" i="4"/>
  <c r="B12" i="4"/>
  <c r="B28" i="4"/>
  <c r="B5" i="4"/>
  <c r="B6" i="4"/>
  <c r="B7" i="4"/>
  <c r="B9" i="4"/>
  <c r="B10" i="4"/>
  <c r="B11" i="4"/>
  <c r="B13" i="4"/>
  <c r="B14" i="4"/>
  <c r="B15" i="4"/>
  <c r="B17" i="4"/>
  <c r="B18" i="4"/>
  <c r="B19" i="4"/>
  <c r="B21" i="4"/>
  <c r="B22" i="4"/>
  <c r="B23" i="4"/>
  <c r="B25" i="4"/>
  <c r="B26" i="4"/>
  <c r="B27" i="4"/>
  <c r="B29" i="4"/>
  <c r="B30" i="4"/>
  <c r="B31" i="4"/>
  <c r="B33" i="4"/>
  <c r="B34" i="4"/>
  <c r="B35" i="4"/>
  <c r="B37" i="4"/>
  <c r="B38" i="4"/>
  <c r="B39" i="4"/>
  <c r="B41" i="4"/>
  <c r="B42" i="4"/>
  <c r="B43" i="4"/>
  <c r="B45" i="4"/>
  <c r="J4" i="4"/>
  <c r="I4" i="4"/>
  <c r="B4" i="4"/>
  <c r="EP78" i="10" l="1"/>
  <c r="EQ78" i="10"/>
  <c r="EQ83" i="10"/>
  <c r="EP83" i="10"/>
  <c r="EP81" i="10"/>
  <c r="EQ81" i="10"/>
  <c r="EP82" i="10"/>
  <c r="EQ82" i="10"/>
  <c r="EP80" i="10"/>
  <c r="EQ80" i="10"/>
  <c r="EQ79" i="10"/>
  <c r="EP79" i="10"/>
  <c r="EO21" i="10"/>
  <c r="EP21" i="10" s="1"/>
  <c r="EO47" i="10"/>
  <c r="EP47" i="10" s="1"/>
  <c r="EO46" i="10"/>
  <c r="EQ46" i="10" s="1"/>
  <c r="EO14" i="10"/>
  <c r="EP14" i="10" s="1"/>
  <c r="EO29" i="10"/>
  <c r="EQ29" i="10" s="1"/>
  <c r="EO45" i="10"/>
  <c r="EQ45" i="10" s="1"/>
  <c r="EO42" i="10"/>
  <c r="EQ42" i="10" s="1"/>
  <c r="EO35" i="10"/>
  <c r="EQ35" i="10" s="1"/>
  <c r="EO32" i="10"/>
  <c r="EQ32" i="10" s="1"/>
  <c r="EO31" i="10"/>
  <c r="EQ31" i="10" s="1"/>
  <c r="EO30" i="10"/>
  <c r="EP30" i="10" s="1"/>
  <c r="EO27" i="10"/>
  <c r="EQ27" i="10" s="1"/>
  <c r="EO26" i="10"/>
  <c r="EQ26" i="10" s="1"/>
  <c r="EO23" i="10"/>
  <c r="EQ23" i="10" s="1"/>
  <c r="EO19" i="10"/>
  <c r="EQ19" i="10" s="1"/>
  <c r="EO11" i="10"/>
  <c r="EQ11" i="10" s="1"/>
  <c r="EO20" i="10"/>
  <c r="EP20" i="10" s="1"/>
  <c r="EO22" i="10"/>
  <c r="EQ22" i="10" s="1"/>
  <c r="EO28" i="10"/>
  <c r="EQ28" i="10" s="1"/>
  <c r="EO34" i="10"/>
  <c r="EQ34" i="10" s="1"/>
  <c r="EO38" i="10"/>
  <c r="EP38" i="10" s="1"/>
  <c r="EO12" i="10"/>
  <c r="EQ12" i="10" s="1"/>
  <c r="EO16" i="10"/>
  <c r="EQ16" i="10" s="1"/>
  <c r="EO39" i="10"/>
  <c r="EP39" i="10" s="1"/>
  <c r="EO36" i="10"/>
  <c r="EP36" i="10" s="1"/>
  <c r="EO43" i="10"/>
  <c r="EQ43" i="10" s="1"/>
  <c r="EO13" i="10"/>
  <c r="EQ13" i="10" s="1"/>
  <c r="EO44" i="10"/>
  <c r="EQ44" i="10" s="1"/>
  <c r="EO33" i="10"/>
  <c r="EP33" i="10" s="1"/>
  <c r="EO9" i="10"/>
  <c r="EP9" i="10" s="1"/>
  <c r="EO17" i="10"/>
  <c r="EP17" i="10" s="1"/>
  <c r="EO24" i="10"/>
  <c r="EP24" i="10" s="1"/>
  <c r="EO40" i="10"/>
  <c r="EQ40" i="10" s="1"/>
  <c r="EO10" i="10"/>
  <c r="EQ10" i="10" s="1"/>
  <c r="EO18" i="10"/>
  <c r="EQ18" i="10" s="1"/>
  <c r="EO25" i="10"/>
  <c r="EQ25" i="10" s="1"/>
  <c r="EO41" i="10"/>
  <c r="EP41" i="10" s="1"/>
  <c r="EO8" i="10"/>
  <c r="EQ8" i="10" s="1"/>
  <c r="EO15" i="10"/>
  <c r="EQ15" i="10" s="1"/>
  <c r="EO37" i="10"/>
  <c r="EQ37" i="10" s="1"/>
  <c r="EO7" i="10"/>
  <c r="EP7" i="10" s="1"/>
  <c r="EE67" i="1"/>
  <c r="EG67" i="1" s="1"/>
  <c r="EE68" i="1"/>
  <c r="EG68" i="1" s="1"/>
  <c r="EE65" i="1"/>
  <c r="EG65" i="1" s="1"/>
  <c r="EE66" i="1"/>
  <c r="EG66" i="1" s="1"/>
  <c r="EE64" i="1"/>
  <c r="EG64" i="1" s="1"/>
  <c r="EE70" i="1"/>
  <c r="EF70" i="1" s="1"/>
  <c r="EE69" i="1"/>
  <c r="EF69" i="1" s="1"/>
  <c r="EE63" i="1"/>
  <c r="EF63" i="1" s="1"/>
  <c r="DU71" i="1"/>
  <c r="EE61" i="1"/>
  <c r="EG61" i="1" s="1"/>
  <c r="EE59" i="1"/>
  <c r="EG59" i="1" s="1"/>
  <c r="EE58" i="1"/>
  <c r="EF58" i="1" s="1"/>
  <c r="EE62" i="1"/>
  <c r="EG62" i="1" s="1"/>
  <c r="EE60" i="1"/>
  <c r="EF60" i="1" s="1"/>
  <c r="EE57" i="1"/>
  <c r="EG57" i="1" s="1"/>
  <c r="Y12" i="5"/>
  <c r="EE56" i="1"/>
  <c r="EF56" i="1" s="1"/>
  <c r="EE55" i="1"/>
  <c r="EG55" i="1" s="1"/>
  <c r="EE54" i="1"/>
  <c r="EF54" i="1" s="1"/>
  <c r="EE53" i="1"/>
  <c r="EG53" i="1" s="1"/>
  <c r="EE23" i="1"/>
  <c r="EG23" i="1" s="1"/>
  <c r="EE51" i="1"/>
  <c r="EG51" i="1" s="1"/>
  <c r="EE52" i="1"/>
  <c r="EG52" i="1" s="1"/>
  <c r="Y11" i="5"/>
  <c r="X11" i="5"/>
  <c r="W12" i="5"/>
  <c r="X12" i="5"/>
  <c r="W11" i="5"/>
  <c r="Z10" i="5"/>
  <c r="EE22" i="1"/>
  <c r="EF22" i="1" s="1"/>
  <c r="EE48" i="1"/>
  <c r="EE47" i="1"/>
  <c r="EE46" i="1"/>
  <c r="EE49" i="1"/>
  <c r="EE45" i="1"/>
  <c r="Z8" i="5"/>
  <c r="Y7" i="5"/>
  <c r="Z7" i="5" s="1"/>
  <c r="W9" i="5"/>
  <c r="X9" i="5"/>
  <c r="X13" i="5"/>
  <c r="EE20" i="1"/>
  <c r="EF20" i="1" s="1"/>
  <c r="EE14" i="1"/>
  <c r="EG14" i="1" s="1"/>
  <c r="EE11" i="1"/>
  <c r="EG11" i="1" s="1"/>
  <c r="EE17" i="1"/>
  <c r="EG17" i="1" s="1"/>
  <c r="EE19" i="1"/>
  <c r="EF19" i="1" s="1"/>
  <c r="EE50" i="1"/>
  <c r="EG50" i="1" s="1"/>
  <c r="EE44" i="1"/>
  <c r="EF44" i="1" s="1"/>
  <c r="EE43" i="1"/>
  <c r="EF43" i="1" s="1"/>
  <c r="EE42" i="1"/>
  <c r="EF42" i="1" s="1"/>
  <c r="EE41" i="1"/>
  <c r="EF41" i="1" s="1"/>
  <c r="EE40" i="1"/>
  <c r="EG40" i="1" s="1"/>
  <c r="EE13" i="1"/>
  <c r="EG13" i="1" s="1"/>
  <c r="EE21" i="1"/>
  <c r="EG21" i="1" s="1"/>
  <c r="EE8" i="1"/>
  <c r="EF8" i="1" s="1"/>
  <c r="EE12" i="1"/>
  <c r="EG12" i="1" s="1"/>
  <c r="EE7" i="1"/>
  <c r="EF7" i="1" s="1"/>
  <c r="EE39" i="1"/>
  <c r="EF39" i="1" s="1"/>
  <c r="EE36" i="1"/>
  <c r="EF36" i="1" s="1"/>
  <c r="EE29" i="1"/>
  <c r="EG29" i="1" s="1"/>
  <c r="EE24" i="1"/>
  <c r="EF24" i="1" s="1"/>
  <c r="EE31" i="1"/>
  <c r="EF31" i="1" s="1"/>
  <c r="EE28" i="1"/>
  <c r="EF28" i="1" s="1"/>
  <c r="EE10" i="1"/>
  <c r="EF10" i="1" s="1"/>
  <c r="EE33" i="1"/>
  <c r="EG33" i="1" s="1"/>
  <c r="EE9" i="1"/>
  <c r="EG9" i="1" s="1"/>
  <c r="EE35" i="1"/>
  <c r="EG35" i="1" s="1"/>
  <c r="EE27" i="1"/>
  <c r="EG27" i="1" s="1"/>
  <c r="EE38" i="1"/>
  <c r="EG38" i="1" s="1"/>
  <c r="EE34" i="1"/>
  <c r="EG34" i="1" s="1"/>
  <c r="EE32" i="1"/>
  <c r="EG32" i="1" s="1"/>
  <c r="EE26" i="1"/>
  <c r="EF26" i="1" s="1"/>
  <c r="EE37" i="1"/>
  <c r="EG37" i="1" s="1"/>
  <c r="EE30" i="1"/>
  <c r="EF30" i="1" s="1"/>
  <c r="EE25" i="1"/>
  <c r="EG25" i="1" s="1"/>
  <c r="EE15" i="1"/>
  <c r="EG15" i="1" s="1"/>
  <c r="EE16" i="1"/>
  <c r="EG16" i="1" s="1"/>
  <c r="EE18" i="1"/>
  <c r="EG18" i="1" s="1"/>
  <c r="EQ47" i="10" l="1"/>
  <c r="EP46" i="10"/>
  <c r="EP16" i="10"/>
  <c r="EP23" i="10"/>
  <c r="EQ41" i="10"/>
  <c r="EP31" i="10"/>
  <c r="EP19" i="10"/>
  <c r="EP13" i="10"/>
  <c r="EQ24" i="10"/>
  <c r="EQ7" i="10"/>
  <c r="EP44" i="10"/>
  <c r="EP42" i="10"/>
  <c r="EQ38" i="10"/>
  <c r="EQ33" i="10"/>
  <c r="EQ39" i="10"/>
  <c r="EP37" i="10"/>
  <c r="EQ17" i="10"/>
  <c r="EP11" i="10"/>
  <c r="EQ20" i="10"/>
  <c r="EQ30" i="10"/>
  <c r="EP15" i="10"/>
  <c r="EP8" i="10"/>
  <c r="EP12" i="10"/>
  <c r="EP22" i="10"/>
  <c r="EQ21" i="10"/>
  <c r="EP32" i="10"/>
  <c r="EP29" i="10"/>
  <c r="EQ14" i="10"/>
  <c r="EP26" i="10"/>
  <c r="EP40" i="10"/>
  <c r="EP28" i="10"/>
  <c r="EP25" i="10"/>
  <c r="EP35" i="10"/>
  <c r="EP34" i="10"/>
  <c r="EQ36" i="10"/>
  <c r="EP18" i="10"/>
  <c r="EP10" i="10"/>
  <c r="EP27" i="10"/>
  <c r="EP43" i="10"/>
  <c r="EP45" i="10"/>
  <c r="EF67" i="1"/>
  <c r="EF64" i="1"/>
  <c r="EF68" i="1"/>
  <c r="EF66" i="1"/>
  <c r="EF65" i="1"/>
  <c r="EG69" i="1"/>
  <c r="EG70" i="1"/>
  <c r="EG63" i="1"/>
  <c r="EF59" i="1"/>
  <c r="EF62" i="1"/>
  <c r="EF55" i="1"/>
  <c r="EF61" i="1"/>
  <c r="EG58" i="1"/>
  <c r="EG60" i="1"/>
  <c r="EF57" i="1"/>
  <c r="EG56" i="1"/>
  <c r="EG54" i="1"/>
  <c r="EF53" i="1"/>
  <c r="EF51" i="1"/>
  <c r="EF23" i="1"/>
  <c r="EF52" i="1"/>
  <c r="EG49" i="1"/>
  <c r="EF49" i="1"/>
  <c r="EF48" i="1"/>
  <c r="EG48" i="1"/>
  <c r="EF47" i="1"/>
  <c r="EG47" i="1"/>
  <c r="EF46" i="1"/>
  <c r="EG46" i="1"/>
  <c r="EF45" i="1"/>
  <c r="EG45" i="1"/>
  <c r="Y13" i="5"/>
  <c r="EG22" i="1"/>
  <c r="EG20" i="1"/>
  <c r="Z9" i="5"/>
  <c r="Z11" i="5"/>
  <c r="Z12" i="5"/>
  <c r="W13" i="5"/>
  <c r="EF11" i="1"/>
  <c r="EF14" i="1"/>
  <c r="EF17" i="1"/>
  <c r="EG19" i="1"/>
  <c r="EF50" i="1"/>
  <c r="EG42" i="1"/>
  <c r="EG44" i="1"/>
  <c r="EG8" i="1"/>
  <c r="EG7" i="1"/>
  <c r="EG41" i="1"/>
  <c r="EG43" i="1"/>
  <c r="EG31" i="1"/>
  <c r="EF12" i="1"/>
  <c r="EF21" i="1"/>
  <c r="EG36" i="1"/>
  <c r="EF35" i="1"/>
  <c r="EF40" i="1"/>
  <c r="EF13" i="1"/>
  <c r="EF29" i="1"/>
  <c r="EG30" i="1"/>
  <c r="EF27" i="1"/>
  <c r="EF33" i="1"/>
  <c r="EG39" i="1"/>
  <c r="EF37" i="1"/>
  <c r="EG28" i="1"/>
  <c r="EF25" i="1"/>
  <c r="EG24" i="1"/>
  <c r="EG10" i="1"/>
  <c r="EG26" i="1"/>
  <c r="EF9" i="1"/>
  <c r="EF32" i="1"/>
  <c r="EF34" i="1"/>
  <c r="EF38" i="1"/>
  <c r="EF18" i="1"/>
  <c r="EF15" i="1"/>
  <c r="EF16" i="1"/>
  <c r="Z13" i="5" l="1"/>
</calcChain>
</file>

<file path=xl/sharedStrings.xml><?xml version="1.0" encoding="utf-8"?>
<sst xmlns="http://schemas.openxmlformats.org/spreadsheetml/2006/main" count="6016" uniqueCount="436">
  <si>
    <t xml:space="preserve">قائمة حضور اللاعبين </t>
  </si>
  <si>
    <t>Tu</t>
  </si>
  <si>
    <t>Th</t>
  </si>
  <si>
    <t>N</t>
  </si>
  <si>
    <t>Full Name</t>
  </si>
  <si>
    <t>مصطفاوي ايهم</t>
  </si>
  <si>
    <t>مصطفاوي جود</t>
  </si>
  <si>
    <t>February</t>
  </si>
  <si>
    <t>march</t>
  </si>
  <si>
    <t>جاب الله ريماس</t>
  </si>
  <si>
    <t>جاب الله لجين</t>
  </si>
  <si>
    <t>جاب الله رانيا</t>
  </si>
  <si>
    <t>جاب الله رسيم</t>
  </si>
  <si>
    <t>معمري امين</t>
  </si>
  <si>
    <t>معمري ادم</t>
  </si>
  <si>
    <t>زرفاوي غيلاس وسيم</t>
  </si>
  <si>
    <t>مصباحي انس</t>
  </si>
  <si>
    <t>مصباحي عبد النور</t>
  </si>
  <si>
    <t>سلطاني رؤيا</t>
  </si>
  <si>
    <t>سلطاني أسماء</t>
  </si>
  <si>
    <t>قرفي امنة</t>
  </si>
  <si>
    <t>عدايكة انيس</t>
  </si>
  <si>
    <t>قماري بلقاسم</t>
  </si>
  <si>
    <t>صوالح عمار محمود</t>
  </si>
  <si>
    <t>عبد القوي اشرف</t>
  </si>
  <si>
    <t>حداد علي</t>
  </si>
  <si>
    <t>حداد أسامة</t>
  </si>
  <si>
    <t>دحدي امير</t>
  </si>
  <si>
    <t>طاهر امين</t>
  </si>
  <si>
    <t>April</t>
  </si>
  <si>
    <t>قرفي محمد</t>
  </si>
  <si>
    <t>حمادوش انس</t>
  </si>
  <si>
    <t>نصيرة ذاكر</t>
  </si>
  <si>
    <t>ذياب نورهان</t>
  </si>
  <si>
    <t>اليمان محمد مناف</t>
  </si>
  <si>
    <t>خرف الله حذيفة</t>
  </si>
  <si>
    <t>بوغزال زكريا</t>
  </si>
  <si>
    <t>/</t>
  </si>
  <si>
    <t>سقني عبد الحميد</t>
  </si>
  <si>
    <t>عثماني اسماعيل</t>
  </si>
  <si>
    <t>الارقط آية</t>
  </si>
  <si>
    <t>Guardian's name</t>
  </si>
  <si>
    <t>Phone number</t>
  </si>
  <si>
    <t>Registration file</t>
  </si>
  <si>
    <t>Center file</t>
  </si>
  <si>
    <t xml:space="preserve">قائمة معلومات اللاعبين </t>
  </si>
  <si>
    <t>مجدي</t>
  </si>
  <si>
    <t>خالد</t>
  </si>
  <si>
    <t>بشير</t>
  </si>
  <si>
    <t>محمود</t>
  </si>
  <si>
    <t>محمد</t>
  </si>
  <si>
    <t>يحيى</t>
  </si>
  <si>
    <t>سليم</t>
  </si>
  <si>
    <t>سفيان</t>
  </si>
  <si>
    <t>السعيد</t>
  </si>
  <si>
    <t>الطاهر</t>
  </si>
  <si>
    <t>حفيص</t>
  </si>
  <si>
    <t>احمد</t>
  </si>
  <si>
    <t>فريد</t>
  </si>
  <si>
    <t>عبد السلام</t>
  </si>
  <si>
    <t>عبد الله</t>
  </si>
  <si>
    <t>فوزي</t>
  </si>
  <si>
    <t>الساسي</t>
  </si>
  <si>
    <t>حمي اشرف</t>
  </si>
  <si>
    <t>عبد المالك حمي</t>
  </si>
  <si>
    <t xml:space="preserve">عبد المالك </t>
  </si>
  <si>
    <t>Date</t>
  </si>
  <si>
    <t>مهرية ميرال</t>
  </si>
  <si>
    <t>مهرية فرح</t>
  </si>
  <si>
    <t>طليبة عبد العزيز</t>
  </si>
  <si>
    <t>طليبة تسنيم</t>
  </si>
  <si>
    <t>رقم</t>
  </si>
  <si>
    <t>اسم الولي</t>
  </si>
  <si>
    <t xml:space="preserve">التاريخ </t>
  </si>
  <si>
    <t>المبلغ</t>
  </si>
  <si>
    <t>اليمان مناف</t>
  </si>
  <si>
    <t>18/02/2025</t>
  </si>
  <si>
    <t>بوغزال</t>
  </si>
  <si>
    <t>مهرية</t>
  </si>
  <si>
    <t>20/02/2025</t>
  </si>
  <si>
    <t>غيلاس</t>
  </si>
  <si>
    <t>عثماني</t>
  </si>
  <si>
    <t>عدايكة</t>
  </si>
  <si>
    <t>هيثم عبد الحميد</t>
  </si>
  <si>
    <t>25/02/2025</t>
  </si>
  <si>
    <t>28/02/2025</t>
  </si>
  <si>
    <t>توفيق طليبة</t>
  </si>
  <si>
    <t>ذاكر نصيرة</t>
  </si>
  <si>
    <t>نورهان ذياب</t>
  </si>
  <si>
    <t>محمود معمري</t>
  </si>
  <si>
    <t>جاب الله خالد</t>
  </si>
  <si>
    <t>13/03/2025</t>
  </si>
  <si>
    <t>0662176912/0662303412</t>
  </si>
  <si>
    <t>فيصل زغيب</t>
  </si>
  <si>
    <t>توفيق</t>
  </si>
  <si>
    <t>مناف محمد اليمان</t>
  </si>
  <si>
    <t>مصباحي يحيى</t>
  </si>
  <si>
    <t>انور محبوب</t>
  </si>
  <si>
    <t>مستور صلاح الدين</t>
  </si>
  <si>
    <t>10/042025</t>
  </si>
  <si>
    <t>قائمة ملفات الرياضيين</t>
  </si>
  <si>
    <t>الاسم واللقب</t>
  </si>
  <si>
    <t>شهادة الميلاد</t>
  </si>
  <si>
    <t>شهادة طبية</t>
  </si>
  <si>
    <t>الصور</t>
  </si>
  <si>
    <t>تصريح الولي</t>
  </si>
  <si>
    <t>جميع الوئاق</t>
  </si>
  <si>
    <t>شايب الحاج ميلود</t>
  </si>
  <si>
    <t>اسلام محبوب</t>
  </si>
  <si>
    <t xml:space="preserve">مستور يوسف </t>
  </si>
  <si>
    <t>مستور شاهيناز</t>
  </si>
  <si>
    <t>أنور</t>
  </si>
  <si>
    <t>صلاح الدين</t>
  </si>
  <si>
    <t>صوالح محمود</t>
  </si>
  <si>
    <t>خالد جاب الله</t>
  </si>
  <si>
    <t>15/04/2025</t>
  </si>
  <si>
    <t>17/04/2025</t>
  </si>
  <si>
    <t>سلطاني سليم</t>
  </si>
  <si>
    <t>22/04/2025</t>
  </si>
  <si>
    <t>بلقاسم قماري</t>
  </si>
  <si>
    <t>24/042025</t>
  </si>
  <si>
    <t>May</t>
  </si>
  <si>
    <t>Jun</t>
  </si>
  <si>
    <t>شريف رياض</t>
  </si>
  <si>
    <t>مستور جعفر</t>
  </si>
  <si>
    <t>شريف تاج الدين</t>
  </si>
  <si>
    <t>مستور يزيد</t>
  </si>
  <si>
    <t>مستور عائشة</t>
  </si>
  <si>
    <t>بركات محمد ارسلان</t>
  </si>
  <si>
    <t>بوديار محمد قيس</t>
  </si>
  <si>
    <t>اليمان رائد محمد التجاني</t>
  </si>
  <si>
    <t>بدين عبد السلام يعقوب</t>
  </si>
  <si>
    <t>13/05/2025</t>
  </si>
  <si>
    <t xml:space="preserve">حمزة </t>
  </si>
  <si>
    <t>خلبل بركات</t>
  </si>
  <si>
    <t>جمال</t>
  </si>
  <si>
    <t>رياض</t>
  </si>
  <si>
    <t>جعفر</t>
  </si>
  <si>
    <t>0669 69 69 29</t>
  </si>
  <si>
    <t>0669 30 90 06</t>
  </si>
  <si>
    <t>0660 89 07 74</t>
  </si>
  <si>
    <t>0780 11 93 48</t>
  </si>
  <si>
    <t>رؤوم مسغوني</t>
  </si>
  <si>
    <t>15/05/2025</t>
  </si>
  <si>
    <t>هشام قماري</t>
  </si>
  <si>
    <t>27/05/2025</t>
  </si>
  <si>
    <t>قماري اويس</t>
  </si>
  <si>
    <t>قماري ادم</t>
  </si>
  <si>
    <t>فوحمه جولان</t>
  </si>
  <si>
    <t>تواتي عبد الرؤوف</t>
  </si>
  <si>
    <t>29/05/2025</t>
  </si>
  <si>
    <t>15/6/2025</t>
  </si>
  <si>
    <t>17/06/2025</t>
  </si>
  <si>
    <t>فليون زين العابدين</t>
  </si>
  <si>
    <t>نصر الدين بريبش</t>
  </si>
  <si>
    <t>سروطي علي</t>
  </si>
  <si>
    <t>مسعي بوبكر عبد الرزاق</t>
  </si>
  <si>
    <t>عمراني يوسف</t>
  </si>
  <si>
    <t>سروطي مسعود</t>
  </si>
  <si>
    <t>محمد البشير فليون</t>
  </si>
  <si>
    <t>محمد علي بريبش</t>
  </si>
  <si>
    <t>يونس بريبش</t>
  </si>
  <si>
    <t>عمراني جاسم</t>
  </si>
  <si>
    <t>عمراني سالمة</t>
  </si>
  <si>
    <t>مسعي بوبكر عبدالرزاق</t>
  </si>
  <si>
    <t>عبيدي علي</t>
  </si>
  <si>
    <t>سويسي ياسمين</t>
  </si>
  <si>
    <t>سويسي سوار</t>
  </si>
  <si>
    <t>لجين هقي</t>
  </si>
  <si>
    <t>امتنان هقي</t>
  </si>
  <si>
    <t>زين الدين هقي</t>
  </si>
  <si>
    <t>كحلاوي بهاء</t>
  </si>
  <si>
    <t>هقي الياس</t>
  </si>
  <si>
    <t>24/06/2025</t>
  </si>
  <si>
    <t>Su</t>
  </si>
  <si>
    <t>July</t>
  </si>
  <si>
    <t>August</t>
  </si>
  <si>
    <t>قماري هشام</t>
  </si>
  <si>
    <t>26/06/2025</t>
  </si>
  <si>
    <t>29/06/2025</t>
  </si>
  <si>
    <t>امان الله اسبوعي</t>
  </si>
  <si>
    <t xml:space="preserve">حداد إسكندر </t>
  </si>
  <si>
    <t>الاخوة محمد أرسلان</t>
  </si>
  <si>
    <t>حسام محبوب</t>
  </si>
  <si>
    <t>حداء إسكندر</t>
  </si>
  <si>
    <t>امان الله سبوعي</t>
  </si>
  <si>
    <t>احمد الطاهر</t>
  </si>
  <si>
    <t>زين عبد المنعم</t>
  </si>
  <si>
    <t>عطاطفة جود</t>
  </si>
  <si>
    <t>عطاطفة ميرال</t>
  </si>
  <si>
    <t>عطاطفة ناصر</t>
  </si>
  <si>
    <t>عطاطفة</t>
  </si>
  <si>
    <t>Date of Birth</t>
  </si>
  <si>
    <t>20/10/2016</t>
  </si>
  <si>
    <t>17/07/2013</t>
  </si>
  <si>
    <t>20/10/2020</t>
  </si>
  <si>
    <t>27/06/2018</t>
  </si>
  <si>
    <t>29/09/2016</t>
  </si>
  <si>
    <t>17/07/2018</t>
  </si>
  <si>
    <t>30/11/2017</t>
  </si>
  <si>
    <t>20/07/2016</t>
  </si>
  <si>
    <t>26/05/2018</t>
  </si>
  <si>
    <t>20/09/2016</t>
  </si>
  <si>
    <t>30/01/2020</t>
  </si>
  <si>
    <t>16/07/2016</t>
  </si>
  <si>
    <t>25/01/2019</t>
  </si>
  <si>
    <t>25/04/2019</t>
  </si>
  <si>
    <t>28/06/2017</t>
  </si>
  <si>
    <t>19/04/2019</t>
  </si>
  <si>
    <t>26/06/2020</t>
  </si>
  <si>
    <t>22/05/2020</t>
  </si>
  <si>
    <t>20/02/2019</t>
  </si>
  <si>
    <t>15/05/2015</t>
  </si>
  <si>
    <t>19/06/2016</t>
  </si>
  <si>
    <t>29/05/2015</t>
  </si>
  <si>
    <t>22/01/2018</t>
  </si>
  <si>
    <t>24/11/2019</t>
  </si>
  <si>
    <t>16/09/2017</t>
  </si>
  <si>
    <t>24/04/2016</t>
  </si>
  <si>
    <t>17/01/2019</t>
  </si>
  <si>
    <t>19/06/2019</t>
  </si>
  <si>
    <t>عتوسي الناصر</t>
  </si>
  <si>
    <t>29/05/2021</t>
  </si>
  <si>
    <t>21/04/2021</t>
  </si>
  <si>
    <t>عبيدي علي الأطرش</t>
  </si>
  <si>
    <t>18/05/2018</t>
  </si>
  <si>
    <t>13/07/2025</t>
  </si>
  <si>
    <t>تواتي قصي</t>
  </si>
  <si>
    <t>15/07/2025</t>
  </si>
  <si>
    <t>حداد طاهر</t>
  </si>
  <si>
    <t>20/07/2025</t>
  </si>
  <si>
    <t>قماري سفيان</t>
  </si>
  <si>
    <t>24/07/2025</t>
  </si>
  <si>
    <t>هشام</t>
  </si>
  <si>
    <t>خليفة</t>
  </si>
  <si>
    <t>يوسف</t>
  </si>
  <si>
    <t>زين العابدين</t>
  </si>
  <si>
    <t>نصر الدين</t>
  </si>
  <si>
    <t>إلياس</t>
  </si>
  <si>
    <t>سليمة</t>
  </si>
  <si>
    <t>ام إسكندر</t>
  </si>
  <si>
    <t>طارق</t>
  </si>
  <si>
    <t>الطيب</t>
  </si>
  <si>
    <t>0675272433 / 0659505015</t>
  </si>
  <si>
    <t>ادريس</t>
  </si>
  <si>
    <t>TOTAL</t>
  </si>
  <si>
    <t>سويسي فريد</t>
  </si>
  <si>
    <t>29/07/2025</t>
  </si>
  <si>
    <t>31/08/2025</t>
  </si>
  <si>
    <t>عبد العظيم عتوسي</t>
  </si>
  <si>
    <t>September</t>
  </si>
  <si>
    <t>Sa</t>
  </si>
  <si>
    <t>كنان تجاني</t>
  </si>
  <si>
    <t>صفية اشرقت تجاني</t>
  </si>
  <si>
    <t>لهزيل نور اليقين</t>
  </si>
  <si>
    <t>كنان محيرق</t>
  </si>
  <si>
    <t>سهيلات علي محمد حسان</t>
  </si>
  <si>
    <t>سهيلات فاطمة الزهرة</t>
  </si>
  <si>
    <t>محيرق عبد العالي</t>
  </si>
  <si>
    <t>تجاني عبد الحافظ</t>
  </si>
  <si>
    <t>دحدي سليم</t>
  </si>
  <si>
    <t>حمادوش لطفي</t>
  </si>
  <si>
    <t>مسعودي عماد الدين</t>
  </si>
  <si>
    <t>زاوي ايمان</t>
  </si>
  <si>
    <t>هقي اويس</t>
  </si>
  <si>
    <t>مسعودي محمد الفاتح</t>
  </si>
  <si>
    <t>مسعودي معتصم بالله</t>
  </si>
  <si>
    <t xml:space="preserve">عاشور أنور </t>
  </si>
  <si>
    <t>عاشور جنان</t>
  </si>
  <si>
    <t>هقي ياسين</t>
  </si>
  <si>
    <t>مصطفاوي فراس</t>
  </si>
  <si>
    <t>شويرف ياسر علي</t>
  </si>
  <si>
    <t>Kimono  145</t>
  </si>
  <si>
    <t xml:space="preserve">Kimono 180 </t>
  </si>
  <si>
    <t>Kimono 250</t>
  </si>
  <si>
    <t>Paid</t>
  </si>
  <si>
    <t>Retour</t>
  </si>
  <si>
    <t>Commend</t>
  </si>
  <si>
    <t>Livre</t>
  </si>
  <si>
    <t>ON Dinar</t>
  </si>
  <si>
    <t>Total Commend</t>
  </si>
  <si>
    <t>Total Livre</t>
  </si>
  <si>
    <t>Total Paid</t>
  </si>
  <si>
    <t>Total Retour</t>
  </si>
  <si>
    <t>Total Rest On Salle</t>
  </si>
  <si>
    <t>Total Rest No Paid</t>
  </si>
  <si>
    <t>Total Livre No Paid</t>
  </si>
  <si>
    <t>ذهب محمود</t>
  </si>
  <si>
    <t>فريد ذياب</t>
  </si>
  <si>
    <t>شويرف سارة</t>
  </si>
  <si>
    <t>شويرف  سارة</t>
  </si>
  <si>
    <t xml:space="preserve"> </t>
  </si>
  <si>
    <t>ذهب  محمود</t>
  </si>
  <si>
    <t>ملفات تأمين الرياضيين بالمركز الترفيهي</t>
  </si>
  <si>
    <t>الرقم</t>
  </si>
  <si>
    <t>مصطفاوي غراس</t>
  </si>
  <si>
    <t>تجاني كنان</t>
  </si>
  <si>
    <t>تجاني صفية اشرقت</t>
  </si>
  <si>
    <t>طاهر ايمان</t>
  </si>
  <si>
    <t>الغياب 0.5-</t>
  </si>
  <si>
    <t>اللباس 01-</t>
  </si>
  <si>
    <t>الاظافر 1.5-</t>
  </si>
  <si>
    <t>احترام الزميل  3-</t>
  </si>
  <si>
    <t>احسن اخلاق 01+</t>
  </si>
  <si>
    <t>مقاطعة المدرب 01-</t>
  </si>
  <si>
    <t>احسن أداء Kihon +01</t>
  </si>
  <si>
    <t>احسن أداء Kata +01</t>
  </si>
  <si>
    <t>احسن أداء Kumite +01</t>
  </si>
  <si>
    <t>مسابقة 2.5+</t>
  </si>
  <si>
    <t>العلامة</t>
  </si>
  <si>
    <t>قائمة استلام المستحقات 2025/2026</t>
  </si>
  <si>
    <t>قائمة استلام المستحقات 2024/2025</t>
  </si>
  <si>
    <t>October</t>
  </si>
  <si>
    <t>بريبش علي</t>
  </si>
  <si>
    <t>تجاني عبد الجبار</t>
  </si>
  <si>
    <t>تجاني رهف</t>
  </si>
  <si>
    <t>تجاني هيثم</t>
  </si>
  <si>
    <t>جاب الله حالد</t>
  </si>
  <si>
    <t>احمد طاهر</t>
  </si>
  <si>
    <t>بوديار قيس</t>
  </si>
  <si>
    <t>قماري السعبد</t>
  </si>
  <si>
    <t>عبد الرحمان بوحامد</t>
  </si>
  <si>
    <t>مجاهد شكيمة</t>
  </si>
  <si>
    <t>شكيمة مجاهد</t>
  </si>
  <si>
    <t>بوحامد عبد الرحمان</t>
  </si>
  <si>
    <t>قماري عائشة</t>
  </si>
  <si>
    <t>بونيف اليانة</t>
  </si>
  <si>
    <t>بونيف ايدن</t>
  </si>
  <si>
    <t>بونيف إبراهيم</t>
  </si>
  <si>
    <t>سابع زهير</t>
  </si>
  <si>
    <t>سابع لوي</t>
  </si>
  <si>
    <t>قديري خير الدين</t>
  </si>
  <si>
    <t>0..7</t>
  </si>
  <si>
    <t>سروطي جلال</t>
  </si>
  <si>
    <t>November</t>
  </si>
  <si>
    <t>تجاني  عبد الجبار</t>
  </si>
  <si>
    <t>مهرية هند</t>
  </si>
  <si>
    <t>قاسم</t>
  </si>
  <si>
    <t>SATURDAY</t>
  </si>
  <si>
    <t>SUNDAY</t>
  </si>
  <si>
    <t>;ANDAY</t>
  </si>
  <si>
    <t>TEUSDAY</t>
  </si>
  <si>
    <t>WEDNESDAY</t>
  </si>
  <si>
    <t>THURSDAY</t>
  </si>
  <si>
    <t>FRIDAY</t>
  </si>
  <si>
    <t>17.0/19.30</t>
  </si>
  <si>
    <t>15.30/17.00</t>
  </si>
  <si>
    <t>17.30/19.00</t>
  </si>
  <si>
    <t>GROUP 1</t>
  </si>
  <si>
    <t>GROUP 2</t>
  </si>
  <si>
    <t>SATURDAY 15.30</t>
  </si>
  <si>
    <t>TEUSDAY 17.45</t>
  </si>
  <si>
    <t>THURSDAY 17.45</t>
  </si>
  <si>
    <t>SANDAY 17.30</t>
  </si>
  <si>
    <t>TEUSDAY 15.30</t>
  </si>
  <si>
    <t>فرج بلقاسم</t>
  </si>
  <si>
    <t>مايا</t>
  </si>
  <si>
    <t>السبت 15.30</t>
  </si>
  <si>
    <t>الثلاثاء 17.45</t>
  </si>
  <si>
    <t>الخميس 17.45</t>
  </si>
  <si>
    <t>الاحد 17.30</t>
  </si>
  <si>
    <t>الثلاثاء 15.30</t>
  </si>
  <si>
    <t>بركات محمد أرسلان</t>
  </si>
  <si>
    <t>Decamber</t>
  </si>
  <si>
    <t>Group N</t>
  </si>
  <si>
    <t>مايا قعري</t>
  </si>
  <si>
    <t xml:space="preserve"> بن نصيب فيصل</t>
  </si>
  <si>
    <t>بن نصيب شاهين</t>
  </si>
  <si>
    <t>بن نصيب لقمان</t>
  </si>
  <si>
    <t>بن نصيب هبة الرحمان</t>
  </si>
  <si>
    <t>بن نصيب</t>
  </si>
  <si>
    <t>هند الأطرش</t>
  </si>
  <si>
    <t>بن نصيب فصيل</t>
  </si>
  <si>
    <t>بن نصيب هبة</t>
  </si>
  <si>
    <t>تريعة محمد</t>
  </si>
  <si>
    <t>هقي معتز بالله</t>
  </si>
  <si>
    <t>قائمة حضور اللاعبين 2026</t>
  </si>
  <si>
    <t>مهدي</t>
  </si>
  <si>
    <t>جاب الله رحيل</t>
  </si>
  <si>
    <t>مروان عبد الوهاب</t>
  </si>
  <si>
    <t>مروان يحيئ</t>
  </si>
  <si>
    <t>مروان مزيان أسامة</t>
  </si>
  <si>
    <t>بن نصيب ه_ل</t>
  </si>
  <si>
    <t>Size</t>
  </si>
  <si>
    <t>Stock</t>
  </si>
  <si>
    <t>بن نصيب ش_ف</t>
  </si>
  <si>
    <t>بشرى قعري</t>
  </si>
  <si>
    <t>Mars</t>
  </si>
  <si>
    <t>January</t>
  </si>
  <si>
    <t>مناعي انيس</t>
  </si>
  <si>
    <t>مناعي نور الهدى</t>
  </si>
  <si>
    <t>مناعي</t>
  </si>
  <si>
    <t>شتحونة ماهر</t>
  </si>
  <si>
    <t>شتحومة ماهر</t>
  </si>
  <si>
    <t>سويد شفاء</t>
  </si>
  <si>
    <t>كنده</t>
  </si>
  <si>
    <t>جوري</t>
  </si>
  <si>
    <t>بن ناصر فريد</t>
  </si>
  <si>
    <t>بن ناصر نضال</t>
  </si>
  <si>
    <t>يعقوبي رياض</t>
  </si>
  <si>
    <t>غنادرة ديالا</t>
  </si>
  <si>
    <t>غنادرة احمد ياسين</t>
  </si>
  <si>
    <t>حمية رتاج</t>
  </si>
  <si>
    <t>حمية رجاء</t>
  </si>
  <si>
    <t>حمية محمد فاتح</t>
  </si>
  <si>
    <t>حمية</t>
  </si>
  <si>
    <t>غنادرة</t>
  </si>
  <si>
    <t>ين ناصر نضال</t>
  </si>
  <si>
    <t>Avril</t>
  </si>
  <si>
    <t>سويد اماني</t>
  </si>
  <si>
    <t>مسعودي رفيف</t>
  </si>
  <si>
    <t>Rest 2025</t>
  </si>
  <si>
    <t>لبزة</t>
  </si>
  <si>
    <t>لبزة حبد الكريم</t>
  </si>
  <si>
    <t>لبزة نزار</t>
  </si>
  <si>
    <t>لبزة ياسين</t>
  </si>
  <si>
    <t>سويد ميار</t>
  </si>
  <si>
    <t>ليان سويد</t>
  </si>
  <si>
    <t>دركي</t>
  </si>
  <si>
    <t>دركي اجمد ياسين</t>
  </si>
  <si>
    <t>دركي لزهاري</t>
  </si>
  <si>
    <t>كينة وجوري</t>
  </si>
  <si>
    <t>وحيد أسامة</t>
  </si>
  <si>
    <t>نعجة وحيد أسامة</t>
  </si>
  <si>
    <t>بن بردي هيبة</t>
  </si>
  <si>
    <t>بن بردي هيبت</t>
  </si>
  <si>
    <t>تقأ</t>
  </si>
  <si>
    <t>Group 1</t>
  </si>
  <si>
    <t>Group 2</t>
  </si>
  <si>
    <t>Group 3</t>
  </si>
  <si>
    <t>Group 4</t>
  </si>
  <si>
    <t>تقوى</t>
  </si>
  <si>
    <t>عبيدي ساجد</t>
  </si>
  <si>
    <t>عبيدي خديجة</t>
  </si>
  <si>
    <t>مصباحي يحي</t>
  </si>
  <si>
    <t>معتز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</si>
</sst>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د.ج.‏-1401]"/>
    <numFmt numFmtId="165" formatCode="[$-F800]dddd\,\ mmmm\ dd\,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6"/>
      <name val="Yu Gothic"/>
      <family val="2"/>
      <charset val="128"/>
    </font>
    <font>
      <b/>
      <sz val="11"/>
      <name val="Calibri"/>
      <family val="2"/>
      <scheme val="minor"/>
    </font>
    <font>
      <b/>
      <i/>
      <u/>
      <sz val="20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4"/>
      <color rgb="FF9C0006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2"/>
      <color rgb="FF9C5700"/>
      <name val="Calibri"/>
      <family val="2"/>
      <scheme val="minor"/>
    </font>
    <font>
      <b/>
      <sz val="12"/>
      <color rgb="FF00610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2F2F2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7CE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5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/>
      <right style="thin">
        <color rgb="FF3F3F3F"/>
      </right>
      <top/>
      <bottom/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thin">
        <color rgb="FF3F3F3F"/>
      </right>
      <top/>
      <bottom style="thin">
        <color rgb="FF3F3F3F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3F3F3F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/>
      <bottom style="medium">
        <color rgb="FF7F7F7F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1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7" fillId="6" borderId="3" applyNumberFormat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5" fillId="13" borderId="0" applyNumberFormat="0" applyBorder="0" applyAlignment="0" applyProtection="0"/>
    <xf numFmtId="0" fontId="26" fillId="26" borderId="0" applyNumberFormat="0" applyBorder="0" applyAlignment="0" applyProtection="0"/>
    <xf numFmtId="0" fontId="27" fillId="27" borderId="0" applyNumberFormat="0" applyBorder="0" applyAlignment="0" applyProtection="0"/>
  </cellStyleXfs>
  <cellXfs count="259">
    <xf numFmtId="0" fontId="0" fillId="0" borderId="0" xfId="0"/>
    <xf numFmtId="0" fontId="0" fillId="0" borderId="0" xfId="0" applyAlignment="1">
      <alignment horizontal="center"/>
    </xf>
    <xf numFmtId="14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 textRotation="90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5" borderId="0" xfId="4" applyFont="1" applyAlignment="1">
      <alignment horizontal="center"/>
    </xf>
    <xf numFmtId="16" fontId="10" fillId="0" borderId="2" xfId="0" applyNumberFormat="1" applyFont="1" applyBorder="1" applyAlignment="1">
      <alignment horizontal="center" vertical="center" textRotation="90"/>
    </xf>
    <xf numFmtId="0" fontId="7" fillId="6" borderId="3" xfId="5"/>
    <xf numFmtId="0" fontId="2" fillId="7" borderId="3" xfId="6" applyFont="1" applyBorder="1" applyAlignment="1">
      <alignment horizontal="center"/>
    </xf>
    <xf numFmtId="0" fontId="2" fillId="8" borderId="3" xfId="7" applyFont="1" applyBorder="1" applyAlignment="1">
      <alignment horizontal="center"/>
    </xf>
    <xf numFmtId="0" fontId="2" fillId="8" borderId="3" xfId="7" applyFont="1" applyBorder="1" applyAlignment="1">
      <alignment horizontal="center" vertical="center"/>
    </xf>
    <xf numFmtId="0" fontId="2" fillId="9" borderId="1" xfId="1" applyFont="1" applyFill="1" applyBorder="1" applyAlignment="1">
      <alignment horizontal="center"/>
    </xf>
    <xf numFmtId="0" fontId="2" fillId="9" borderId="3" xfId="1" applyFont="1" applyFill="1" applyBorder="1" applyAlignment="1">
      <alignment horizontal="center"/>
    </xf>
    <xf numFmtId="0" fontId="2" fillId="10" borderId="1" xfId="1" applyFont="1" applyFill="1" applyBorder="1" applyAlignment="1">
      <alignment horizontal="center"/>
    </xf>
    <xf numFmtId="0" fontId="7" fillId="9" borderId="3" xfId="5" applyFill="1"/>
    <xf numFmtId="0" fontId="0" fillId="0" borderId="7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3" fillId="9" borderId="3" xfId="5" applyFont="1" applyFill="1" applyAlignment="1">
      <alignment horizontal="center" vertical="center"/>
    </xf>
    <xf numFmtId="0" fontId="2" fillId="9" borderId="8" xfId="1" applyFont="1" applyFill="1" applyBorder="1" applyAlignment="1">
      <alignment horizontal="center"/>
    </xf>
    <xf numFmtId="0" fontId="13" fillId="0" borderId="7" xfId="0" applyFont="1" applyBorder="1" applyAlignment="1">
      <alignment horizontal="right" vertical="center"/>
    </xf>
    <xf numFmtId="0" fontId="9" fillId="12" borderId="7" xfId="0" applyFont="1" applyFill="1" applyBorder="1" applyAlignment="1">
      <alignment horizontal="right" vertical="center"/>
    </xf>
    <xf numFmtId="0" fontId="14" fillId="0" borderId="0" xfId="0" applyFont="1" applyAlignment="1">
      <alignment vertical="center"/>
    </xf>
    <xf numFmtId="0" fontId="2" fillId="10" borderId="8" xfId="1" applyFont="1" applyFill="1" applyBorder="1" applyAlignment="1">
      <alignment horizontal="center"/>
    </xf>
    <xf numFmtId="0" fontId="13" fillId="10" borderId="3" xfId="5" applyFont="1" applyFill="1" applyAlignment="1">
      <alignment horizontal="center" vertical="center"/>
    </xf>
    <xf numFmtId="0" fontId="2" fillId="8" borderId="3" xfId="7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16" fontId="10" fillId="0" borderId="0" xfId="0" applyNumberFormat="1" applyFont="1" applyAlignment="1">
      <alignment horizontal="center" vertical="center" textRotation="90"/>
    </xf>
    <xf numFmtId="0" fontId="2" fillId="7" borderId="12" xfId="6" applyFont="1" applyBorder="1" applyAlignment="1">
      <alignment horizontal="center"/>
    </xf>
    <xf numFmtId="0" fontId="2" fillId="10" borderId="12" xfId="6" applyFont="1" applyFill="1" applyBorder="1" applyAlignment="1">
      <alignment horizontal="center"/>
    </xf>
    <xf numFmtId="0" fontId="7" fillId="6" borderId="13" xfId="5" applyBorder="1" applyAlignment="1">
      <alignment horizontal="right" vertical="center"/>
    </xf>
    <xf numFmtId="0" fontId="2" fillId="8" borderId="4" xfId="7" applyFont="1" applyBorder="1" applyAlignment="1">
      <alignment horizontal="center"/>
    </xf>
    <xf numFmtId="0" fontId="2" fillId="7" borderId="7" xfId="6" applyFont="1" applyBorder="1" applyAlignment="1"/>
    <xf numFmtId="0" fontId="2" fillId="7" borderId="7" xfId="6" applyFont="1" applyBorder="1" applyAlignment="1">
      <alignment horizontal="center"/>
    </xf>
    <xf numFmtId="0" fontId="0" fillId="0" borderId="7" xfId="0" applyBorder="1"/>
    <xf numFmtId="0" fontId="2" fillId="10" borderId="3" xfId="1" applyFont="1" applyFill="1" applyBorder="1" applyAlignment="1">
      <alignment horizontal="center"/>
    </xf>
    <xf numFmtId="0" fontId="2" fillId="7" borderId="7" xfId="6" applyFont="1" applyBorder="1" applyAlignment="1">
      <alignment horizontal="center" vertical="center"/>
    </xf>
    <xf numFmtId="14" fontId="2" fillId="7" borderId="7" xfId="6" applyNumberFormat="1" applyFont="1" applyBorder="1" applyAlignment="1">
      <alignment horizontal="center" vertical="center"/>
    </xf>
    <xf numFmtId="0" fontId="13" fillId="0" borderId="3" xfId="5" applyFont="1" applyFill="1" applyAlignment="1">
      <alignment horizontal="right" vertic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7" fillId="6" borderId="3" xfId="5" applyNumberFormat="1" applyAlignment="1">
      <alignment horizontal="right" vertical="center"/>
    </xf>
    <xf numFmtId="0" fontId="7" fillId="6" borderId="18" xfId="5" applyNumberFormat="1" applyBorder="1" applyAlignment="1">
      <alignment horizontal="right" vertical="center"/>
    </xf>
    <xf numFmtId="0" fontId="7" fillId="6" borderId="6" xfId="5" applyNumberFormat="1" applyBorder="1" applyAlignment="1">
      <alignment horizontal="right" vertical="center"/>
    </xf>
    <xf numFmtId="0" fontId="0" fillId="0" borderId="0" xfId="0" applyProtection="1">
      <protection locked="0"/>
    </xf>
    <xf numFmtId="0" fontId="7" fillId="0" borderId="7" xfId="5" applyFill="1" applyBorder="1"/>
    <xf numFmtId="0" fontId="7" fillId="0" borderId="3" xfId="5" applyFill="1" applyAlignment="1">
      <alignment horizontal="center" vertical="center"/>
    </xf>
    <xf numFmtId="0" fontId="7" fillId="0" borderId="3" xfId="5" applyFill="1"/>
    <xf numFmtId="164" fontId="7" fillId="0" borderId="3" xfId="5" applyNumberFormat="1" applyFill="1"/>
    <xf numFmtId="0" fontId="7" fillId="0" borderId="3" xfId="5" applyFill="1" applyAlignment="1">
      <alignment horizontal="right" vertical="center"/>
    </xf>
    <xf numFmtId="0" fontId="7" fillId="0" borderId="4" xfId="5" applyFill="1" applyBorder="1"/>
    <xf numFmtId="0" fontId="7" fillId="0" borderId="12" xfId="5" applyFill="1" applyBorder="1" applyAlignment="1">
      <alignment horizontal="center" vertical="center"/>
    </xf>
    <xf numFmtId="164" fontId="7" fillId="0" borderId="13" xfId="5" applyNumberFormat="1" applyFill="1" applyBorder="1"/>
    <xf numFmtId="14" fontId="7" fillId="0" borderId="7" xfId="5" applyNumberFormat="1" applyFill="1" applyBorder="1" applyAlignment="1">
      <alignment horizontal="center" vertical="center"/>
    </xf>
    <xf numFmtId="14" fontId="7" fillId="0" borderId="19" xfId="5" applyNumberFormat="1" applyFill="1" applyBorder="1" applyAlignment="1">
      <alignment vertical="center"/>
    </xf>
    <xf numFmtId="0" fontId="7" fillId="0" borderId="11" xfId="5" applyFill="1" applyBorder="1"/>
    <xf numFmtId="164" fontId="8" fillId="0" borderId="0" xfId="0" applyNumberFormat="1" applyFont="1" applyProtection="1"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13" xfId="5" applyFill="1" applyBorder="1"/>
    <xf numFmtId="0" fontId="7" fillId="0" borderId="13" xfId="5" applyFill="1" applyBorder="1" applyAlignment="1">
      <alignment horizontal="right" vertical="center"/>
    </xf>
    <xf numFmtId="0" fontId="7" fillId="0" borderId="9" xfId="5" applyFill="1" applyBorder="1"/>
    <xf numFmtId="0" fontId="7" fillId="0" borderId="24" xfId="5" applyFill="1" applyBorder="1"/>
    <xf numFmtId="0" fontId="7" fillId="0" borderId="4" xfId="5" applyFill="1" applyBorder="1" applyAlignment="1">
      <alignment horizontal="center" vertical="center"/>
    </xf>
    <xf numFmtId="0" fontId="0" fillId="11" borderId="0" xfId="0" applyFill="1" applyAlignment="1">
      <alignment horizontal="center"/>
    </xf>
    <xf numFmtId="14" fontId="3" fillId="11" borderId="0" xfId="0" applyNumberFormat="1" applyFont="1" applyFill="1" applyAlignment="1">
      <alignment horizontal="center"/>
    </xf>
    <xf numFmtId="16" fontId="10" fillId="11" borderId="0" xfId="0" applyNumberFormat="1" applyFont="1" applyFill="1" applyAlignment="1">
      <alignment horizontal="center" vertical="center" textRotation="90"/>
    </xf>
    <xf numFmtId="165" fontId="7" fillId="0" borderId="7" xfId="5" applyNumberFormat="1" applyFill="1" applyBorder="1" applyAlignment="1">
      <alignment horizontal="center" vertical="center"/>
    </xf>
    <xf numFmtId="0" fontId="16" fillId="13" borderId="7" xfId="8" applyFont="1" applyBorder="1" applyAlignment="1">
      <alignment horizontal="center" vertical="center"/>
    </xf>
    <xf numFmtId="0" fontId="17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3" fillId="14" borderId="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7" xfId="0" applyBorder="1" applyAlignment="1">
      <alignment horizontal="center" wrapText="1"/>
    </xf>
    <xf numFmtId="165" fontId="0" fillId="0" borderId="7" xfId="0" applyNumberFormat="1" applyBorder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16" fillId="13" borderId="7" xfId="8" applyFont="1" applyBorder="1" applyAlignment="1"/>
    <xf numFmtId="0" fontId="16" fillId="0" borderId="0" xfId="8" applyFont="1" applyFill="1" applyBorder="1" applyAlignment="1"/>
    <xf numFmtId="0" fontId="16" fillId="13" borderId="7" xfId="8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16" fillId="13" borderId="24" xfId="8" applyFont="1" applyBorder="1" applyAlignment="1">
      <alignment horizontal="center" vertical="center"/>
    </xf>
    <xf numFmtId="0" fontId="3" fillId="11" borderId="20" xfId="0" applyFont="1" applyFill="1" applyBorder="1" applyAlignment="1">
      <alignment horizontal="center" vertical="center" wrapText="1"/>
    </xf>
    <xf numFmtId="0" fontId="16" fillId="13" borderId="7" xfId="8" applyFont="1" applyBorder="1"/>
    <xf numFmtId="0" fontId="9" fillId="15" borderId="7" xfId="0" applyFont="1" applyFill="1" applyBorder="1" applyAlignment="1">
      <alignment horizontal="center" wrapText="1"/>
    </xf>
    <xf numFmtId="0" fontId="3" fillId="11" borderId="30" xfId="0" applyFont="1" applyFill="1" applyBorder="1" applyAlignment="1">
      <alignment horizontal="center" vertical="center" wrapText="1"/>
    </xf>
    <xf numFmtId="0" fontId="16" fillId="13" borderId="26" xfId="8" applyFont="1" applyBorder="1" applyAlignment="1">
      <alignment horizontal="center" vertical="center"/>
    </xf>
    <xf numFmtId="0" fontId="3" fillId="11" borderId="31" xfId="0" applyFont="1" applyFill="1" applyBorder="1" applyAlignment="1">
      <alignment horizontal="center" vertical="center" wrapText="1"/>
    </xf>
    <xf numFmtId="4" fontId="18" fillId="0" borderId="32" xfId="0" applyNumberFormat="1" applyFont="1" applyBorder="1"/>
    <xf numFmtId="4" fontId="18" fillId="0" borderId="33" xfId="0" applyNumberFormat="1" applyFont="1" applyBorder="1"/>
    <xf numFmtId="0" fontId="9" fillId="0" borderId="34" xfId="0" applyFont="1" applyBorder="1" applyAlignment="1">
      <alignment horizontal="right" vertical="center"/>
    </xf>
    <xf numFmtId="0" fontId="9" fillId="0" borderId="35" xfId="0" applyFont="1" applyBorder="1" applyAlignment="1">
      <alignment horizontal="right" vertical="center"/>
    </xf>
    <xf numFmtId="0" fontId="9" fillId="0" borderId="36" xfId="0" applyFont="1" applyBorder="1" applyAlignment="1">
      <alignment horizontal="right" vertical="center"/>
    </xf>
    <xf numFmtId="0" fontId="2" fillId="0" borderId="7" xfId="0" applyFont="1" applyBorder="1"/>
    <xf numFmtId="0" fontId="9" fillId="0" borderId="7" xfId="0" applyFont="1" applyBorder="1" applyAlignment="1">
      <alignment horizontal="center" vertical="center" wrapText="1"/>
    </xf>
    <xf numFmtId="0" fontId="9" fillId="17" borderId="7" xfId="0" applyFont="1" applyFill="1" applyBorder="1" applyAlignment="1">
      <alignment horizontal="center" vertical="center" wrapText="1"/>
    </xf>
    <xf numFmtId="0" fontId="0" fillId="17" borderId="0" xfId="0" applyFill="1"/>
    <xf numFmtId="0" fontId="2" fillId="11" borderId="7" xfId="2" applyFont="1" applyFill="1" applyBorder="1" applyAlignment="1">
      <alignment horizontal="center" vertical="center"/>
    </xf>
    <xf numFmtId="0" fontId="13" fillId="11" borderId="7" xfId="5" applyFont="1" applyFill="1" applyBorder="1" applyAlignment="1">
      <alignment horizontal="center" vertical="center"/>
    </xf>
    <xf numFmtId="0" fontId="2" fillId="11" borderId="7" xfId="1" applyFont="1" applyFill="1" applyBorder="1" applyAlignment="1">
      <alignment horizontal="center" vertical="center"/>
    </xf>
    <xf numFmtId="0" fontId="2" fillId="17" borderId="7" xfId="0" applyFont="1" applyFill="1" applyBorder="1" applyAlignment="1">
      <alignment horizontal="center" vertical="center"/>
    </xf>
    <xf numFmtId="14" fontId="7" fillId="0" borderId="3" xfId="5" applyNumberFormat="1" applyFill="1" applyAlignment="1">
      <alignment horizontal="center" vertical="center"/>
    </xf>
    <xf numFmtId="0" fontId="13" fillId="10" borderId="6" xfId="5" applyFont="1" applyFill="1" applyBorder="1" applyAlignment="1">
      <alignment horizontal="center" vertical="center"/>
    </xf>
    <xf numFmtId="164" fontId="7" fillId="18" borderId="3" xfId="5" applyNumberFormat="1" applyFill="1"/>
    <xf numFmtId="0" fontId="2" fillId="0" borderId="0" xfId="0" applyFont="1" applyAlignment="1">
      <alignment horizontal="center"/>
    </xf>
    <xf numFmtId="0" fontId="2" fillId="19" borderId="7" xfId="0" applyFont="1" applyFill="1" applyBorder="1" applyAlignment="1">
      <alignment horizontal="center"/>
    </xf>
    <xf numFmtId="0" fontId="13" fillId="0" borderId="7" xfId="5" applyFont="1" applyFill="1" applyBorder="1" applyAlignment="1">
      <alignment horizontal="right" vertical="center"/>
    </xf>
    <xf numFmtId="0" fontId="21" fillId="20" borderId="37" xfId="0" applyFont="1" applyFill="1" applyBorder="1" applyAlignment="1">
      <alignment horizontal="center" vertical="center"/>
    </xf>
    <xf numFmtId="0" fontId="21" fillId="20" borderId="38" xfId="0" applyFont="1" applyFill="1" applyBorder="1" applyAlignment="1">
      <alignment horizontal="center" vertical="center"/>
    </xf>
    <xf numFmtId="0" fontId="13" fillId="0" borderId="7" xfId="5" applyFont="1" applyFill="1" applyBorder="1" applyAlignment="1">
      <alignment horizontal="center" vertical="center"/>
    </xf>
    <xf numFmtId="0" fontId="0" fillId="17" borderId="7" xfId="0" applyFill="1" applyBorder="1"/>
    <xf numFmtId="0" fontId="13" fillId="9" borderId="1" xfId="5" applyFont="1" applyFill="1" applyBorder="1" applyAlignment="1">
      <alignment horizontal="center" vertical="center"/>
    </xf>
    <xf numFmtId="0" fontId="2" fillId="2" borderId="5" xfId="1" applyFont="1" applyBorder="1" applyAlignment="1">
      <alignment horizontal="center"/>
    </xf>
    <xf numFmtId="0" fontId="2" fillId="9" borderId="6" xfId="1" applyFont="1" applyFill="1" applyBorder="1" applyAlignment="1">
      <alignment horizontal="center"/>
    </xf>
    <xf numFmtId="0" fontId="2" fillId="9" borderId="25" xfId="1" applyFont="1" applyFill="1" applyBorder="1" applyAlignment="1">
      <alignment horizontal="center"/>
    </xf>
    <xf numFmtId="0" fontId="2" fillId="2" borderId="3" xfId="1" applyFont="1" applyBorder="1" applyAlignment="1">
      <alignment horizontal="center"/>
    </xf>
    <xf numFmtId="0" fontId="2" fillId="9" borderId="18" xfId="1" applyFont="1" applyFill="1" applyBorder="1" applyAlignment="1">
      <alignment horizontal="center"/>
    </xf>
    <xf numFmtId="0" fontId="0" fillId="15" borderId="0" xfId="0" applyFill="1"/>
    <xf numFmtId="0" fontId="22" fillId="0" borderId="0" xfId="0" applyFont="1"/>
    <xf numFmtId="0" fontId="23" fillId="0" borderId="7" xfId="0" applyFont="1" applyBorder="1"/>
    <xf numFmtId="0" fontId="23" fillId="0" borderId="7" xfId="0" applyFont="1" applyBorder="1" applyAlignment="1">
      <alignment horizontal="center" vertical="center"/>
    </xf>
    <xf numFmtId="0" fontId="0" fillId="9" borderId="0" xfId="0" applyFill="1"/>
    <xf numFmtId="0" fontId="0" fillId="21" borderId="0" xfId="0" applyFill="1"/>
    <xf numFmtId="0" fontId="0" fillId="22" borderId="0" xfId="0" applyFill="1"/>
    <xf numFmtId="0" fontId="9" fillId="5" borderId="0" xfId="4" applyFont="1" applyBorder="1" applyAlignment="1">
      <alignment horizontal="center"/>
    </xf>
    <xf numFmtId="0" fontId="13" fillId="9" borderId="7" xfId="5" applyFont="1" applyFill="1" applyBorder="1" applyAlignment="1">
      <alignment horizontal="center" vertical="center"/>
    </xf>
    <xf numFmtId="0" fontId="2" fillId="9" borderId="7" xfId="1" applyFont="1" applyFill="1" applyBorder="1" applyAlignment="1">
      <alignment horizontal="center"/>
    </xf>
    <xf numFmtId="15" fontId="2" fillId="9" borderId="7" xfId="1" applyNumberFormat="1" applyFont="1" applyFill="1" applyBorder="1" applyAlignment="1">
      <alignment horizontal="center"/>
    </xf>
    <xf numFmtId="0" fontId="2" fillId="2" borderId="7" xfId="1" applyFont="1" applyBorder="1" applyAlignment="1">
      <alignment horizontal="center"/>
    </xf>
    <xf numFmtId="0" fontId="2" fillId="19" borderId="7" xfId="1" applyFont="1" applyFill="1" applyBorder="1" applyAlignment="1">
      <alignment horizontal="center"/>
    </xf>
    <xf numFmtId="14" fontId="6" fillId="0" borderId="0" xfId="0" applyNumberFormat="1" applyFont="1" applyAlignment="1">
      <alignment horizontal="center" vertical="center" textRotation="90"/>
    </xf>
    <xf numFmtId="16" fontId="6" fillId="0" borderId="0" xfId="0" applyNumberFormat="1" applyFont="1" applyAlignment="1">
      <alignment horizontal="center" vertical="center" textRotation="90"/>
    </xf>
    <xf numFmtId="0" fontId="2" fillId="3" borderId="7" xfId="2" applyFont="1" applyBorder="1" applyAlignment="1">
      <alignment horizontal="center"/>
    </xf>
    <xf numFmtId="0" fontId="2" fillId="4" borderId="7" xfId="3" applyFont="1" applyBorder="1" applyAlignment="1">
      <alignment horizontal="center"/>
    </xf>
    <xf numFmtId="14" fontId="2" fillId="9" borderId="7" xfId="1" applyNumberFormat="1" applyFont="1" applyFill="1" applyBorder="1" applyAlignment="1">
      <alignment horizontal="center"/>
    </xf>
    <xf numFmtId="0" fontId="0" fillId="23" borderId="7" xfId="0" applyFill="1" applyBorder="1" applyAlignment="1">
      <alignment horizontal="center"/>
    </xf>
    <xf numFmtId="0" fontId="2" fillId="23" borderId="7" xfId="1" applyFont="1" applyFill="1" applyBorder="1" applyAlignment="1">
      <alignment horizontal="center"/>
    </xf>
    <xf numFmtId="0" fontId="9" fillId="0" borderId="7" xfId="0" applyFont="1" applyBorder="1"/>
    <xf numFmtId="0" fontId="9" fillId="14" borderId="7" xfId="0" applyFont="1" applyFill="1" applyBorder="1"/>
    <xf numFmtId="0" fontId="2" fillId="24" borderId="7" xfId="1" applyFont="1" applyFill="1" applyBorder="1" applyAlignment="1">
      <alignment horizontal="center"/>
    </xf>
    <xf numFmtId="0" fontId="13" fillId="24" borderId="7" xfId="5" applyFont="1" applyFill="1" applyBorder="1" applyAlignment="1">
      <alignment horizontal="center" vertical="center"/>
    </xf>
    <xf numFmtId="0" fontId="2" fillId="14" borderId="7" xfId="1" applyFont="1" applyFill="1" applyBorder="1" applyAlignment="1">
      <alignment horizontal="center"/>
    </xf>
    <xf numFmtId="0" fontId="13" fillId="14" borderId="7" xfId="5" applyFont="1" applyFill="1" applyBorder="1" applyAlignment="1">
      <alignment horizontal="center" vertical="center"/>
    </xf>
    <xf numFmtId="0" fontId="0" fillId="0" borderId="21" xfId="0" applyBorder="1"/>
    <xf numFmtId="0" fontId="0" fillId="0" borderId="39" xfId="0" applyBorder="1"/>
    <xf numFmtId="0" fontId="2" fillId="25" borderId="7" xfId="1" applyFont="1" applyFill="1" applyBorder="1" applyAlignment="1">
      <alignment horizontal="center"/>
    </xf>
    <xf numFmtId="0" fontId="13" fillId="25" borderId="7" xfId="1" applyFont="1" applyFill="1" applyBorder="1" applyAlignment="1">
      <alignment horizontal="center"/>
    </xf>
    <xf numFmtId="0" fontId="2" fillId="0" borderId="7" xfId="0" applyFont="1" applyBorder="1" applyAlignment="1">
      <alignment vertical="center"/>
    </xf>
    <xf numFmtId="0" fontId="2" fillId="14" borderId="7" xfId="2" applyFont="1" applyFill="1" applyBorder="1" applyAlignment="1">
      <alignment horizontal="center"/>
    </xf>
    <xf numFmtId="0" fontId="25" fillId="18" borderId="7" xfId="0" applyFont="1" applyFill="1" applyBorder="1" applyAlignment="1">
      <alignment horizontal="center" vertical="center"/>
    </xf>
    <xf numFmtId="14" fontId="7" fillId="0" borderId="22" xfId="5" applyNumberFormat="1" applyFill="1" applyBorder="1" applyAlignment="1">
      <alignment horizontal="center" vertical="center"/>
    </xf>
    <xf numFmtId="0" fontId="28" fillId="27" borderId="7" xfId="10" applyFont="1" applyBorder="1" applyAlignment="1">
      <alignment horizontal="left" vertical="center"/>
    </xf>
    <xf numFmtId="0" fontId="29" fillId="26" borderId="7" xfId="9" applyFont="1" applyBorder="1" applyAlignment="1">
      <alignment horizontal="left" vertical="center"/>
    </xf>
    <xf numFmtId="0" fontId="28" fillId="27" borderId="22" xfId="10" applyFont="1" applyBorder="1" applyAlignment="1">
      <alignment horizontal="left" vertical="center"/>
    </xf>
    <xf numFmtId="0" fontId="29" fillId="26" borderId="22" xfId="9" applyFont="1" applyBorder="1" applyAlignment="1">
      <alignment horizontal="left" vertical="center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2" fillId="28" borderId="7" xfId="1" applyFont="1" applyFill="1" applyBorder="1" applyAlignment="1">
      <alignment horizontal="center"/>
    </xf>
    <xf numFmtId="0" fontId="13" fillId="28" borderId="7" xfId="5" applyFont="1" applyFill="1" applyBorder="1" applyAlignment="1">
      <alignment horizontal="center" vertical="center"/>
    </xf>
    <xf numFmtId="0" fontId="2" fillId="29" borderId="7" xfId="1" applyFont="1" applyFill="1" applyBorder="1" applyAlignment="1">
      <alignment horizontal="center"/>
    </xf>
    <xf numFmtId="0" fontId="13" fillId="29" borderId="7" xfId="5" applyFont="1" applyFill="1" applyBorder="1" applyAlignment="1">
      <alignment horizontal="center" vertical="center"/>
    </xf>
    <xf numFmtId="165" fontId="7" fillId="0" borderId="22" xfId="5" applyNumberFormat="1" applyFill="1" applyBorder="1" applyAlignment="1">
      <alignment horizontal="center" vertical="center"/>
    </xf>
    <xf numFmtId="16" fontId="10" fillId="0" borderId="22" xfId="0" applyNumberFormat="1" applyFont="1" applyBorder="1" applyAlignment="1">
      <alignment horizontal="center" vertical="center" textRotation="90"/>
    </xf>
    <xf numFmtId="16" fontId="10" fillId="0" borderId="43" xfId="0" applyNumberFormat="1" applyFont="1" applyBorder="1" applyAlignment="1">
      <alignment horizontal="center" vertical="center" textRotation="90"/>
    </xf>
    <xf numFmtId="16" fontId="10" fillId="0" borderId="44" xfId="0" applyNumberFormat="1" applyFont="1" applyBorder="1" applyAlignment="1">
      <alignment horizontal="center" vertical="center" textRotation="90"/>
    </xf>
    <xf numFmtId="16" fontId="10" fillId="0" borderId="45" xfId="0" applyNumberFormat="1" applyFont="1" applyBorder="1" applyAlignment="1">
      <alignment horizontal="center" vertical="center" textRotation="90"/>
    </xf>
    <xf numFmtId="16" fontId="10" fillId="0" borderId="46" xfId="0" applyNumberFormat="1" applyFont="1" applyBorder="1" applyAlignment="1">
      <alignment horizontal="center" vertical="center" textRotation="90"/>
    </xf>
    <xf numFmtId="16" fontId="10" fillId="0" borderId="47" xfId="0" applyNumberFormat="1" applyFont="1" applyBorder="1" applyAlignment="1">
      <alignment horizontal="center" vertical="center" textRotation="90"/>
    </xf>
    <xf numFmtId="0" fontId="0" fillId="30" borderId="0" xfId="0" applyFill="1"/>
    <xf numFmtId="0" fontId="2" fillId="4" borderId="24" xfId="3" applyFont="1" applyBorder="1" applyAlignment="1">
      <alignment horizontal="center"/>
    </xf>
    <xf numFmtId="0" fontId="2" fillId="2" borderId="24" xfId="1" applyFont="1" applyBorder="1" applyAlignment="1">
      <alignment horizontal="center"/>
    </xf>
    <xf numFmtId="0" fontId="2" fillId="2" borderId="51" xfId="1" applyFont="1" applyBorder="1" applyAlignment="1">
      <alignment horizontal="center"/>
    </xf>
    <xf numFmtId="0" fontId="2" fillId="2" borderId="52" xfId="1" applyFont="1" applyBorder="1" applyAlignment="1">
      <alignment horizontal="center"/>
    </xf>
    <xf numFmtId="15" fontId="2" fillId="9" borderId="26" xfId="1" applyNumberFormat="1" applyFont="1" applyFill="1" applyBorder="1" applyAlignment="1">
      <alignment horizontal="center"/>
    </xf>
    <xf numFmtId="0" fontId="2" fillId="14" borderId="21" xfId="3" applyFont="1" applyFill="1" applyBorder="1" applyAlignment="1">
      <alignment horizontal="center"/>
    </xf>
    <xf numFmtId="0" fontId="2" fillId="14" borderId="21" xfId="2" applyFont="1" applyFill="1" applyBorder="1" applyAlignment="1">
      <alignment horizontal="center"/>
    </xf>
    <xf numFmtId="0" fontId="2" fillId="14" borderId="39" xfId="3" applyFont="1" applyFill="1" applyBorder="1" applyAlignment="1">
      <alignment horizontal="center"/>
    </xf>
    <xf numFmtId="0" fontId="2" fillId="2" borderId="48" xfId="1" applyFont="1" applyBorder="1" applyAlignment="1">
      <alignment horizontal="center"/>
    </xf>
    <xf numFmtId="0" fontId="2" fillId="2" borderId="49" xfId="1" applyFont="1" applyBorder="1" applyAlignment="1">
      <alignment horizontal="center"/>
    </xf>
    <xf numFmtId="0" fontId="2" fillId="2" borderId="50" xfId="1" applyFont="1" applyBorder="1" applyAlignment="1">
      <alignment horizontal="center"/>
    </xf>
    <xf numFmtId="0" fontId="2" fillId="2" borderId="43" xfId="1" applyFont="1" applyBorder="1" applyAlignment="1">
      <alignment horizontal="center"/>
    </xf>
    <xf numFmtId="0" fontId="2" fillId="2" borderId="22" xfId="1" applyFont="1" applyBorder="1" applyAlignment="1">
      <alignment horizontal="center"/>
    </xf>
    <xf numFmtId="0" fontId="2" fillId="2" borderId="44" xfId="1" applyFont="1" applyBorder="1" applyAlignment="1">
      <alignment horizontal="center"/>
    </xf>
    <xf numFmtId="0" fontId="2" fillId="14" borderId="40" xfId="2" applyFont="1" applyFill="1" applyBorder="1" applyAlignment="1">
      <alignment horizontal="center"/>
    </xf>
    <xf numFmtId="0" fontId="2" fillId="14" borderId="42" xfId="3" applyFont="1" applyFill="1" applyBorder="1" applyAlignment="1">
      <alignment horizontal="center"/>
    </xf>
    <xf numFmtId="0" fontId="2" fillId="14" borderId="41" xfId="2" applyFont="1" applyFill="1" applyBorder="1" applyAlignment="1">
      <alignment horizontal="center"/>
    </xf>
    <xf numFmtId="0" fontId="2" fillId="14" borderId="40" xfId="3" applyFont="1" applyFill="1" applyBorder="1" applyAlignment="1">
      <alignment horizontal="center"/>
    </xf>
    <xf numFmtId="0" fontId="2" fillId="14" borderId="42" xfId="2" applyFont="1" applyFill="1" applyBorder="1" applyAlignment="1">
      <alignment horizontal="center"/>
    </xf>
    <xf numFmtId="0" fontId="2" fillId="14" borderId="41" xfId="3" applyFont="1" applyFill="1" applyBorder="1" applyAlignment="1">
      <alignment horizontal="center"/>
    </xf>
    <xf numFmtId="0" fontId="13" fillId="31" borderId="7" xfId="5" applyFont="1" applyFill="1" applyBorder="1" applyAlignment="1">
      <alignment horizontal="center" vertical="center"/>
    </xf>
    <xf numFmtId="0" fontId="2" fillId="2" borderId="20" xfId="1" applyFont="1" applyBorder="1" applyAlignment="1">
      <alignment horizontal="center"/>
    </xf>
    <xf numFmtId="0" fontId="2" fillId="2" borderId="53" xfId="1" applyFont="1" applyBorder="1" applyAlignment="1">
      <alignment horizontal="center"/>
    </xf>
    <xf numFmtId="0" fontId="2" fillId="2" borderId="21" xfId="1" applyFont="1" applyBorder="1" applyAlignment="1">
      <alignment horizontal="center"/>
    </xf>
    <xf numFmtId="0" fontId="2" fillId="2" borderId="54" xfId="1" applyFont="1" applyBorder="1" applyAlignment="1">
      <alignment horizontal="center"/>
    </xf>
    <xf numFmtId="0" fontId="23" fillId="0" borderId="0" xfId="0" applyFont="1" applyAlignment="1">
      <alignment horizontal="center" vertical="center" textRotation="90"/>
    </xf>
    <xf numFmtId="0" fontId="23" fillId="0" borderId="2" xfId="0" applyFont="1" applyBorder="1" applyAlignment="1">
      <alignment horizontal="center" vertical="center" textRotation="90"/>
    </xf>
    <xf numFmtId="14" fontId="3" fillId="0" borderId="2" xfId="0" applyNumberFormat="1" applyFont="1" applyBorder="1" applyAlignment="1">
      <alignment horizontal="center"/>
    </xf>
    <xf numFmtId="0" fontId="24" fillId="0" borderId="0" xfId="0" applyFont="1" applyAlignment="1">
      <alignment horizontal="center"/>
    </xf>
    <xf numFmtId="14" fontId="3" fillId="0" borderId="40" xfId="0" applyNumberFormat="1" applyFont="1" applyBorder="1" applyAlignment="1">
      <alignment horizontal="center"/>
    </xf>
    <xf numFmtId="14" fontId="3" fillId="0" borderId="42" xfId="0" applyNumberFormat="1" applyFont="1" applyBorder="1" applyAlignment="1">
      <alignment horizontal="center"/>
    </xf>
    <xf numFmtId="14" fontId="3" fillId="0" borderId="41" xfId="0" applyNumberFormat="1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14" fontId="7" fillId="0" borderId="4" xfId="5" applyNumberFormat="1" applyFill="1" applyBorder="1" applyAlignment="1">
      <alignment horizontal="center" vertical="center"/>
    </xf>
    <xf numFmtId="14" fontId="7" fillId="0" borderId="6" xfId="5" applyNumberFormat="1" applyFill="1" applyBorder="1" applyAlignment="1">
      <alignment horizontal="center" vertical="center"/>
    </xf>
    <xf numFmtId="165" fontId="7" fillId="0" borderId="20" xfId="5" applyNumberFormat="1" applyFill="1" applyBorder="1" applyAlignment="1">
      <alignment horizontal="center" vertical="center"/>
    </xf>
    <xf numFmtId="165" fontId="7" fillId="0" borderId="21" xfId="5" applyNumberFormat="1" applyFill="1" applyBorder="1" applyAlignment="1">
      <alignment horizontal="center" vertical="center"/>
    </xf>
    <xf numFmtId="165" fontId="7" fillId="0" borderId="22" xfId="5" applyNumberFormat="1" applyFill="1" applyBorder="1" applyAlignment="1">
      <alignment horizontal="center" vertical="center"/>
    </xf>
    <xf numFmtId="14" fontId="7" fillId="0" borderId="7" xfId="5" applyNumberFormat="1" applyFill="1" applyBorder="1" applyAlignment="1">
      <alignment horizontal="center" vertical="center"/>
    </xf>
    <xf numFmtId="14" fontId="7" fillId="0" borderId="5" xfId="5" applyNumberForma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14" fontId="7" fillId="0" borderId="20" xfId="5" applyNumberFormat="1" applyFill="1" applyBorder="1" applyAlignment="1">
      <alignment horizontal="center" vertical="center"/>
    </xf>
    <xf numFmtId="14" fontId="7" fillId="0" borderId="21" xfId="5" applyNumberFormat="1" applyFill="1" applyBorder="1" applyAlignment="1">
      <alignment horizontal="center" vertical="center"/>
    </xf>
    <xf numFmtId="14" fontId="7" fillId="0" borderId="22" xfId="5" applyNumberFormat="1" applyFill="1" applyBorder="1" applyAlignment="1">
      <alignment horizontal="center" vertical="center"/>
    </xf>
    <xf numFmtId="0" fontId="9" fillId="0" borderId="0" xfId="0" applyFont="1" applyAlignment="1" applyProtection="1">
      <alignment horizontal="left"/>
      <protection locked="0"/>
    </xf>
    <xf numFmtId="165" fontId="7" fillId="0" borderId="20" xfId="5" applyNumberFormat="1" applyFill="1" applyBorder="1" applyAlignment="1">
      <alignment horizontal="center" vertical="top"/>
    </xf>
    <xf numFmtId="165" fontId="7" fillId="0" borderId="21" xfId="5" applyNumberFormat="1" applyFill="1" applyBorder="1" applyAlignment="1">
      <alignment horizontal="center" vertical="top"/>
    </xf>
    <xf numFmtId="165" fontId="7" fillId="0" borderId="22" xfId="5" applyNumberFormat="1" applyFill="1" applyBorder="1" applyAlignment="1">
      <alignment horizontal="center" vertical="top"/>
    </xf>
    <xf numFmtId="0" fontId="17" fillId="16" borderId="27" xfId="0" applyFont="1" applyFill="1" applyBorder="1" applyAlignment="1">
      <alignment horizontal="center" wrapText="1"/>
    </xf>
    <xf numFmtId="0" fontId="17" fillId="16" borderId="28" xfId="0" applyFont="1" applyFill="1" applyBorder="1" applyAlignment="1">
      <alignment horizontal="center" wrapText="1"/>
    </xf>
    <xf numFmtId="0" fontId="17" fillId="16" borderId="29" xfId="0" applyFont="1" applyFill="1" applyBorder="1" applyAlignment="1">
      <alignment horizontal="center" wrapText="1"/>
    </xf>
    <xf numFmtId="0" fontId="7" fillId="6" borderId="14" xfId="5" applyBorder="1" applyAlignment="1">
      <alignment horizontal="center" vertical="center"/>
    </xf>
    <xf numFmtId="0" fontId="7" fillId="6" borderId="23" xfId="5" applyBorder="1" applyAlignment="1">
      <alignment horizontal="center" vertical="center"/>
    </xf>
    <xf numFmtId="0" fontId="7" fillId="6" borderId="15" xfId="5" applyBorder="1" applyAlignment="1">
      <alignment horizontal="center" vertical="center"/>
    </xf>
    <xf numFmtId="0" fontId="7" fillId="6" borderId="4" xfId="5" applyNumberFormat="1" applyBorder="1" applyAlignment="1">
      <alignment horizontal="center" vertical="center"/>
    </xf>
    <xf numFmtId="0" fontId="7" fillId="6" borderId="5" xfId="5" applyNumberFormat="1" applyBorder="1" applyAlignment="1">
      <alignment horizontal="center" vertical="center"/>
    </xf>
    <xf numFmtId="0" fontId="7" fillId="6" borderId="6" xfId="5" applyNumberFormat="1" applyBorder="1" applyAlignment="1">
      <alignment horizontal="center" vertical="center"/>
    </xf>
    <xf numFmtId="0" fontId="7" fillId="6" borderId="4" xfId="5" applyNumberFormat="1" applyBorder="1" applyAlignment="1">
      <alignment horizontal="right" vertical="center"/>
    </xf>
    <xf numFmtId="0" fontId="7" fillId="6" borderId="6" xfId="5" applyNumberFormat="1" applyBorder="1" applyAlignment="1">
      <alignment horizontal="right" vertical="center"/>
    </xf>
    <xf numFmtId="0" fontId="7" fillId="6" borderId="5" xfId="5" applyNumberFormat="1" applyBorder="1" applyAlignment="1">
      <alignment horizontal="right" vertical="center"/>
    </xf>
    <xf numFmtId="0" fontId="7" fillId="6" borderId="4" xfId="5" applyNumberFormat="1" applyBorder="1" applyAlignment="1">
      <alignment horizontal="right" vertical="center" wrapText="1"/>
    </xf>
    <xf numFmtId="0" fontId="7" fillId="6" borderId="6" xfId="5" applyNumberFormat="1" applyBorder="1" applyAlignment="1">
      <alignment horizontal="right" vertical="center" wrapText="1"/>
    </xf>
    <xf numFmtId="0" fontId="7" fillId="6" borderId="9" xfId="5" applyBorder="1" applyAlignment="1">
      <alignment horizontal="right" vertical="center"/>
    </xf>
    <xf numFmtId="0" fontId="7" fillId="6" borderId="11" xfId="5" applyBorder="1" applyAlignment="1">
      <alignment horizontal="right" vertical="center"/>
    </xf>
    <xf numFmtId="0" fontId="7" fillId="6" borderId="10" xfId="5" applyBorder="1" applyAlignment="1">
      <alignment horizontal="right" vertical="center"/>
    </xf>
    <xf numFmtId="0" fontId="4" fillId="0" borderId="0" xfId="0" applyFont="1" applyAlignment="1">
      <alignment horizontal="center"/>
    </xf>
    <xf numFmtId="0" fontId="7" fillId="6" borderId="9" xfId="5" applyBorder="1" applyAlignment="1">
      <alignment horizontal="center" vertical="center"/>
    </xf>
    <xf numFmtId="0" fontId="7" fillId="6" borderId="11" xfId="5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65" fontId="2" fillId="0" borderId="20" xfId="0" applyNumberFormat="1" applyFont="1" applyBorder="1" applyAlignment="1">
      <alignment horizontal="center" vertical="center"/>
    </xf>
    <xf numFmtId="165" fontId="2" fillId="0" borderId="21" xfId="0" applyNumberFormat="1" applyFont="1" applyBorder="1" applyAlignment="1">
      <alignment horizontal="center" vertical="center"/>
    </xf>
    <xf numFmtId="165" fontId="2" fillId="0" borderId="22" xfId="0" applyNumberFormat="1" applyFont="1" applyBorder="1" applyAlignment="1">
      <alignment horizontal="center" vertical="center"/>
    </xf>
    <xf numFmtId="2" fontId="2" fillId="0" borderId="20" xfId="0" applyNumberFormat="1" applyFont="1" applyBorder="1" applyAlignment="1">
      <alignment horizontal="center" vertical="center"/>
    </xf>
    <xf numFmtId="2" fontId="2" fillId="0" borderId="21" xfId="0" applyNumberFormat="1" applyFont="1" applyBorder="1" applyAlignment="1">
      <alignment horizontal="center" vertical="center"/>
    </xf>
    <xf numFmtId="2" fontId="2" fillId="0" borderId="22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/>
    </xf>
    <xf numFmtId="0" fontId="23" fillId="0" borderId="24" xfId="0" applyFont="1" applyBorder="1" applyAlignment="1">
      <alignment horizontal="center"/>
    </xf>
    <xf numFmtId="0" fontId="20" fillId="0" borderId="0" xfId="0" applyFont="1" applyAlignment="1">
      <alignment horizontal="center"/>
    </xf>
  </cellXfs>
  <cellStyles count="11">
    <cellStyle name="20 % - Accent1" xfId="1" builtinId="30"/>
    <cellStyle name="20 % - Accent3" xfId="2" builtinId="38"/>
    <cellStyle name="20 % - Accent4" xfId="3" builtinId="42"/>
    <cellStyle name="40 % - Accent1" xfId="6" builtinId="31"/>
    <cellStyle name="40 % - Accent3" xfId="7" builtinId="39"/>
    <cellStyle name="40 % - Accent6" xfId="4" builtinId="51"/>
    <cellStyle name="Insatisfaisant" xfId="8" builtinId="27"/>
    <cellStyle name="Neutre" xfId="10" builtinId="28"/>
    <cellStyle name="Normal" xfId="0" builtinId="0"/>
    <cellStyle name="Satisfaisant" xfId="9" builtinId="26"/>
    <cellStyle name="Sortie" xfId="5" builtinId="21"/>
  </cellStyles>
  <dxfs count="2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1C796-55B4-4C76-A87F-A8F490A8A434}">
  <dimension ref="A1:EV86"/>
  <sheetViews>
    <sheetView tabSelected="1" topLeftCell="A36" zoomScaleNormal="100" zoomScalePageLayoutView="85" workbookViewId="0">
      <pane xSplit="1" topLeftCell="B1" activePane="topRight" state="frozen"/>
      <selection activeCell="A67" sqref="A67"/>
      <selection pane="topRight" activeCell="AB82" sqref="AB82"/>
    </sheetView>
  </sheetViews>
  <sheetFormatPr baseColWidth="10" defaultColWidth="11.42578125" defaultRowHeight="15.75" x14ac:dyDescent="0.25"/>
  <cols>
    <col min="1" max="1" width="23.7109375" style="1" customWidth="1"/>
    <col min="2" max="2" width="15" style="1" customWidth="1"/>
    <col min="3" max="3" width="3.5703125" style="1" customWidth="1"/>
    <col min="4" max="4" width="12.42578125" style="1" customWidth="1"/>
    <col min="5" max="34" width="4.28515625" style="1" customWidth="1"/>
    <col min="35" max="40" width="4.28515625" style="1" hidden="1" customWidth="1"/>
    <col min="41" max="41" width="0.85546875" style="1" hidden="1" customWidth="1"/>
    <col min="42" max="50" width="4.28515625" style="1" hidden="1" customWidth="1"/>
    <col min="51" max="51" width="1.28515625" style="1" hidden="1" customWidth="1"/>
    <col min="52" max="61" width="4.28515625" style="1" hidden="1" customWidth="1"/>
    <col min="62" max="62" width="0.85546875" style="1" hidden="1" customWidth="1"/>
    <col min="63" max="76" width="4.28515625" style="1" hidden="1" customWidth="1"/>
    <col min="77" max="77" width="1.140625" style="65" hidden="1" customWidth="1"/>
    <col min="78" max="87" width="4.28515625" style="1" hidden="1" customWidth="1"/>
    <col min="88" max="88" width="0.85546875" style="1" hidden="1" customWidth="1"/>
    <col min="89" max="97" width="4.28515625" style="1" hidden="1" customWidth="1"/>
    <col min="98" max="98" width="1" style="1" hidden="1" customWidth="1"/>
    <col min="99" max="111" width="4.28515625" style="1" hidden="1" customWidth="1"/>
    <col min="112" max="112" width="1.140625" style="1" hidden="1" customWidth="1"/>
    <col min="113" max="114" width="4.28515625" style="108" hidden="1" customWidth="1"/>
    <col min="115" max="125" width="4.28515625" style="1" hidden="1" customWidth="1"/>
    <col min="126" max="126" width="0.85546875" style="1" hidden="1" customWidth="1"/>
    <col min="127" max="128" width="4.28515625" style="108" hidden="1" customWidth="1"/>
    <col min="129" max="140" width="4.28515625" style="1" hidden="1" customWidth="1"/>
    <col min="141" max="141" width="5.7109375" style="5" customWidth="1"/>
    <col min="142" max="143" width="3.7109375" style="5" customWidth="1"/>
    <col min="144" max="144" width="5" style="5" customWidth="1"/>
    <col min="145" max="145" width="4.5703125" style="6" customWidth="1"/>
    <col min="146" max="146" width="3.7109375" style="6" customWidth="1"/>
    <col min="147" max="147" width="19.85546875" style="1" customWidth="1"/>
    <col min="148" max="149" width="11.42578125" style="1"/>
    <col min="150" max="150" width="21.42578125" style="1" customWidth="1"/>
    <col min="151" max="16384" width="11.42578125" style="1"/>
  </cols>
  <sheetData>
    <row r="1" spans="1:152" ht="46.5" x14ac:dyDescent="0.7">
      <c r="C1" s="201" t="s">
        <v>376</v>
      </c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1"/>
      <c r="AP1" s="201"/>
      <c r="AQ1" s="201"/>
      <c r="AR1" s="201"/>
      <c r="AS1" s="201"/>
      <c r="AT1" s="201"/>
      <c r="AU1" s="201"/>
      <c r="AV1" s="201"/>
      <c r="AW1" s="201"/>
      <c r="AX1" s="201"/>
      <c r="AY1" s="201"/>
      <c r="AZ1" s="201"/>
      <c r="BA1" s="201"/>
      <c r="BB1" s="201"/>
      <c r="BC1" s="201"/>
      <c r="BD1" s="201"/>
      <c r="BE1" s="201"/>
      <c r="BF1" s="201"/>
      <c r="BG1" s="201"/>
      <c r="BH1" s="201"/>
      <c r="BI1" s="201"/>
      <c r="BJ1" s="201"/>
      <c r="BK1" s="201"/>
      <c r="BL1" s="201"/>
      <c r="BM1" s="201"/>
      <c r="BN1" s="201"/>
      <c r="BO1" s="201"/>
      <c r="BP1" s="201"/>
      <c r="BQ1" s="201"/>
      <c r="BR1" s="201"/>
      <c r="BS1" s="201"/>
      <c r="BT1" s="201"/>
      <c r="BU1" s="201"/>
      <c r="BV1" s="201"/>
      <c r="BW1" s="201"/>
      <c r="BX1" s="201"/>
      <c r="BY1" s="201"/>
      <c r="BZ1" s="201"/>
      <c r="CA1" s="201"/>
      <c r="CB1" s="201"/>
      <c r="CC1" s="201"/>
      <c r="CD1" s="201"/>
      <c r="CE1" s="201"/>
      <c r="CF1" s="201"/>
      <c r="CG1" s="201"/>
      <c r="CH1" s="201"/>
      <c r="CI1" s="201"/>
      <c r="CJ1" s="201"/>
      <c r="CK1" s="201"/>
      <c r="CL1" s="201"/>
      <c r="CM1" s="201"/>
      <c r="CN1" s="201"/>
      <c r="CO1" s="201"/>
      <c r="CP1" s="201"/>
      <c r="CQ1" s="201"/>
      <c r="CR1" s="201"/>
      <c r="CS1" s="201"/>
      <c r="CT1" s="201"/>
      <c r="CU1" s="201"/>
      <c r="CV1" s="201"/>
      <c r="CW1" s="201"/>
      <c r="CX1" s="201"/>
      <c r="CY1" s="201"/>
      <c r="CZ1" s="201"/>
      <c r="DA1" s="201"/>
      <c r="DB1" s="201"/>
      <c r="DC1" s="201"/>
      <c r="DD1" s="201"/>
      <c r="DE1" s="201"/>
      <c r="DF1" s="201"/>
      <c r="DG1" s="201"/>
      <c r="DH1" s="201"/>
      <c r="DI1" s="201"/>
      <c r="DJ1" s="201"/>
      <c r="DK1" s="201"/>
      <c r="DL1" s="201"/>
      <c r="DM1" s="201"/>
      <c r="DN1" s="201"/>
      <c r="DO1" s="201"/>
      <c r="DP1" s="201"/>
      <c r="DQ1" s="201"/>
      <c r="DR1" s="201"/>
      <c r="DS1" s="201"/>
      <c r="DT1" s="201"/>
      <c r="DU1" s="201"/>
      <c r="DV1" s="201"/>
      <c r="DW1" s="201"/>
      <c r="DX1" s="201"/>
      <c r="DY1" s="201"/>
      <c r="DZ1" s="201"/>
      <c r="EA1" s="201"/>
      <c r="EB1" s="201"/>
      <c r="EC1" s="201"/>
      <c r="ED1" s="201"/>
      <c r="EE1" s="201"/>
      <c r="EF1" s="201"/>
      <c r="EG1" s="201"/>
      <c r="EH1" s="201"/>
      <c r="EI1" s="201"/>
      <c r="EJ1" s="201"/>
      <c r="EK1" s="201"/>
    </row>
    <row r="2" spans="1:152" ht="16.5" thickBot="1" x14ac:dyDescent="0.3"/>
    <row r="3" spans="1:152" ht="23.25" customHeight="1" thickBot="1" x14ac:dyDescent="0.4">
      <c r="E3" s="202" t="s">
        <v>388</v>
      </c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4"/>
      <c r="R3" s="202" t="s">
        <v>387</v>
      </c>
      <c r="S3" s="203"/>
      <c r="T3" s="203"/>
      <c r="U3" s="204"/>
      <c r="V3" s="205" t="s">
        <v>408</v>
      </c>
      <c r="W3" s="206"/>
      <c r="X3" s="206"/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6"/>
      <c r="AK3" s="206"/>
      <c r="AL3" s="206"/>
      <c r="AM3" s="207"/>
      <c r="AN3" s="2"/>
      <c r="AP3" s="200"/>
      <c r="AQ3" s="200"/>
      <c r="AR3" s="200"/>
      <c r="AS3" s="200"/>
      <c r="AT3" s="200"/>
      <c r="AU3" s="200"/>
      <c r="AV3" s="200"/>
      <c r="AW3" s="200"/>
      <c r="AX3" s="200"/>
      <c r="AY3" s="2"/>
      <c r="AZ3" s="200"/>
      <c r="BA3" s="200"/>
      <c r="BB3" s="200"/>
      <c r="BC3" s="200"/>
      <c r="BD3" s="200"/>
      <c r="BE3" s="200"/>
      <c r="BF3" s="200"/>
      <c r="BG3" s="200"/>
      <c r="BH3" s="200"/>
      <c r="BI3" s="200"/>
      <c r="BJ3" s="2"/>
      <c r="BK3" s="200"/>
      <c r="BL3" s="200"/>
      <c r="BM3" s="200"/>
      <c r="BN3" s="200"/>
      <c r="BO3" s="200"/>
      <c r="BP3" s="200"/>
      <c r="BQ3" s="200"/>
      <c r="BR3" s="200"/>
      <c r="BS3" s="200"/>
      <c r="BT3" s="200"/>
      <c r="BU3" s="200"/>
      <c r="BV3" s="200"/>
      <c r="BW3" s="200"/>
      <c r="BX3" s="200"/>
      <c r="BY3" s="66"/>
      <c r="BZ3" s="200"/>
      <c r="CA3" s="200"/>
      <c r="CB3" s="200"/>
      <c r="CC3" s="200"/>
      <c r="CD3" s="200"/>
      <c r="CE3" s="200"/>
      <c r="CF3" s="200"/>
      <c r="CG3" s="200"/>
      <c r="CH3" s="200"/>
      <c r="CI3" s="200"/>
      <c r="CJ3" s="2"/>
      <c r="CK3" s="200"/>
      <c r="CL3" s="200"/>
      <c r="CM3" s="200"/>
      <c r="CN3" s="200"/>
      <c r="CO3" s="200"/>
      <c r="CP3" s="200"/>
      <c r="CQ3" s="200"/>
      <c r="CR3" s="200"/>
      <c r="CS3" s="200"/>
      <c r="CT3" s="2"/>
      <c r="CU3" s="200"/>
      <c r="CV3" s="200"/>
      <c r="CW3" s="200"/>
      <c r="CX3" s="200"/>
      <c r="CY3" s="200"/>
      <c r="CZ3" s="200"/>
      <c r="DA3" s="200"/>
      <c r="DB3" s="200"/>
      <c r="DC3" s="200"/>
      <c r="DD3" s="200"/>
      <c r="DE3" s="200"/>
      <c r="DF3" s="200"/>
      <c r="DG3" s="200"/>
      <c r="DH3" s="2"/>
      <c r="DI3" s="200"/>
      <c r="DJ3" s="200"/>
      <c r="DK3" s="200"/>
      <c r="DL3" s="200"/>
      <c r="DM3" s="200"/>
      <c r="DN3" s="200"/>
      <c r="DO3" s="200"/>
      <c r="DP3" s="200"/>
      <c r="DQ3" s="200"/>
      <c r="DR3" s="200"/>
      <c r="DS3" s="200"/>
      <c r="DT3" s="200"/>
      <c r="DU3" s="200"/>
      <c r="DW3" s="200"/>
      <c r="DX3" s="200"/>
      <c r="DY3" s="200"/>
      <c r="DZ3" s="200"/>
      <c r="EA3" s="200"/>
      <c r="EB3" s="200"/>
      <c r="EC3" s="200"/>
      <c r="ED3" s="200"/>
      <c r="EE3" s="200"/>
      <c r="EF3" s="200"/>
      <c r="EG3" s="200"/>
      <c r="EH3" s="200"/>
      <c r="EI3" s="200"/>
      <c r="EJ3" s="200"/>
    </row>
    <row r="4" spans="1:152" ht="39" customHeight="1" x14ac:dyDescent="0.35">
      <c r="E4" s="167"/>
      <c r="F4" s="166">
        <v>3.01</v>
      </c>
      <c r="G4" s="166"/>
      <c r="H4" s="166"/>
      <c r="I4" s="166">
        <v>11.01</v>
      </c>
      <c r="J4" s="166"/>
      <c r="K4" s="166"/>
      <c r="L4" s="166">
        <v>18.010000000000002</v>
      </c>
      <c r="M4" s="166"/>
      <c r="N4" s="166"/>
      <c r="O4" s="166">
        <v>25.01</v>
      </c>
      <c r="P4" s="166"/>
      <c r="Q4" s="168"/>
      <c r="R4" s="167"/>
      <c r="S4" s="166"/>
      <c r="T4" s="166"/>
      <c r="U4" s="168"/>
      <c r="V4" s="167"/>
      <c r="W4" s="166"/>
      <c r="X4" s="166"/>
      <c r="Y4" s="166"/>
      <c r="Z4" s="166"/>
      <c r="AA4" s="166"/>
      <c r="AB4" s="166"/>
      <c r="AC4" s="166"/>
      <c r="AD4" s="166"/>
      <c r="AE4" s="166"/>
      <c r="AF4" s="166"/>
      <c r="AG4" s="166"/>
      <c r="AH4" s="168"/>
      <c r="AI4" s="2"/>
      <c r="AJ4" s="2"/>
      <c r="AK4" s="2"/>
      <c r="AL4" s="2"/>
      <c r="AM4" s="2"/>
      <c r="AN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66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8">
        <v>45990</v>
      </c>
      <c r="DW4" s="28">
        <v>45993</v>
      </c>
      <c r="DX4" s="28">
        <v>45995</v>
      </c>
      <c r="DY4" s="28">
        <v>45967</v>
      </c>
      <c r="DZ4" s="28">
        <v>45997</v>
      </c>
      <c r="EA4" s="28">
        <v>46000</v>
      </c>
      <c r="EB4" s="28">
        <v>46002</v>
      </c>
      <c r="EC4" s="28">
        <v>46004</v>
      </c>
      <c r="ED4" s="28">
        <v>46007</v>
      </c>
      <c r="EE4" s="28">
        <v>46009</v>
      </c>
      <c r="EF4" s="28">
        <v>46011</v>
      </c>
      <c r="EG4" s="28">
        <v>46014</v>
      </c>
      <c r="EH4" s="28">
        <v>46016</v>
      </c>
      <c r="EI4" s="28">
        <v>46018</v>
      </c>
      <c r="EJ4" s="28">
        <v>46021</v>
      </c>
      <c r="EN4" s="198" t="s">
        <v>411</v>
      </c>
    </row>
    <row r="5" spans="1:152" s="3" customFormat="1" ht="45.75" customHeight="1" thickBot="1" x14ac:dyDescent="0.3">
      <c r="E5" s="169">
        <v>1.01</v>
      </c>
      <c r="F5" s="170">
        <v>4.01</v>
      </c>
      <c r="G5" s="170">
        <v>6.01</v>
      </c>
      <c r="H5" s="170">
        <v>8.01</v>
      </c>
      <c r="I5" s="170">
        <v>10.01</v>
      </c>
      <c r="J5" s="170">
        <v>13.01</v>
      </c>
      <c r="K5" s="170">
        <v>15.01</v>
      </c>
      <c r="L5" s="170">
        <v>17.010000000000002</v>
      </c>
      <c r="M5" s="170">
        <v>20.010000000000002</v>
      </c>
      <c r="N5" s="170">
        <v>22.01</v>
      </c>
      <c r="O5" s="170">
        <v>24.01</v>
      </c>
      <c r="P5" s="170">
        <v>27.01</v>
      </c>
      <c r="Q5" s="171">
        <v>29.01</v>
      </c>
      <c r="R5" s="169">
        <v>46105</v>
      </c>
      <c r="S5" s="170">
        <v>46107</v>
      </c>
      <c r="T5" s="170">
        <v>46110</v>
      </c>
      <c r="U5" s="171">
        <v>46112</v>
      </c>
      <c r="V5" s="169">
        <v>46114</v>
      </c>
      <c r="W5" s="170">
        <v>46117</v>
      </c>
      <c r="X5" s="170">
        <v>46119</v>
      </c>
      <c r="Y5" s="170">
        <v>46121</v>
      </c>
      <c r="Z5" s="170">
        <v>46124</v>
      </c>
      <c r="AA5" s="170">
        <v>46126</v>
      </c>
      <c r="AB5" s="170">
        <v>46128</v>
      </c>
      <c r="AC5" s="170">
        <v>46131</v>
      </c>
      <c r="AD5" s="170">
        <v>46133</v>
      </c>
      <c r="AE5" s="170">
        <v>46135</v>
      </c>
      <c r="AF5" s="170">
        <v>46138</v>
      </c>
      <c r="AG5" s="170">
        <v>46140</v>
      </c>
      <c r="AH5" s="171">
        <v>46142</v>
      </c>
      <c r="AI5" s="134"/>
      <c r="AJ5" s="134"/>
      <c r="AK5" s="134"/>
      <c r="AL5" s="134"/>
      <c r="AM5" s="135"/>
      <c r="AN5" s="28">
        <v>45776</v>
      </c>
      <c r="AP5" s="28">
        <v>45781</v>
      </c>
      <c r="AQ5" s="28">
        <v>45783</v>
      </c>
      <c r="AR5" s="28">
        <v>45785</v>
      </c>
      <c r="AS5" s="28">
        <v>45790</v>
      </c>
      <c r="AT5" s="28">
        <v>45792</v>
      </c>
      <c r="AU5" s="28">
        <v>45804</v>
      </c>
      <c r="AV5" s="28"/>
      <c r="AW5" s="28"/>
      <c r="AX5" s="28">
        <v>45806</v>
      </c>
      <c r="AY5" s="28"/>
      <c r="AZ5" s="28">
        <v>45811</v>
      </c>
      <c r="BA5" s="28">
        <v>45813</v>
      </c>
      <c r="BB5" s="28">
        <v>45818</v>
      </c>
      <c r="BC5" s="28">
        <v>45820</v>
      </c>
      <c r="BD5" s="28">
        <v>45823</v>
      </c>
      <c r="BE5" s="28">
        <v>45825</v>
      </c>
      <c r="BF5" s="28">
        <v>45830</v>
      </c>
      <c r="BG5" s="28">
        <v>45832</v>
      </c>
      <c r="BH5" s="28">
        <v>45834</v>
      </c>
      <c r="BI5" s="28">
        <v>45837</v>
      </c>
      <c r="BJ5" s="28"/>
      <c r="BK5" s="28">
        <v>45839</v>
      </c>
      <c r="BL5" s="28">
        <v>45841</v>
      </c>
      <c r="BM5" s="28">
        <v>45844</v>
      </c>
      <c r="BN5" s="28">
        <v>45846</v>
      </c>
      <c r="BO5" s="28">
        <v>45848</v>
      </c>
      <c r="BP5" s="28">
        <v>45851</v>
      </c>
      <c r="BQ5" s="28">
        <v>45853</v>
      </c>
      <c r="BR5" s="28">
        <v>45855</v>
      </c>
      <c r="BS5" s="28">
        <v>45858</v>
      </c>
      <c r="BT5" s="28">
        <v>45860</v>
      </c>
      <c r="BU5" s="28">
        <v>45862</v>
      </c>
      <c r="BV5" s="28">
        <v>45865</v>
      </c>
      <c r="BW5" s="28">
        <v>45867</v>
      </c>
      <c r="BX5" s="28">
        <v>45869</v>
      </c>
      <c r="BY5" s="67"/>
      <c r="BZ5" s="28">
        <v>45873</v>
      </c>
      <c r="CA5" s="28">
        <v>45874</v>
      </c>
      <c r="CB5" s="28">
        <v>45876</v>
      </c>
      <c r="CC5" s="28">
        <v>45875</v>
      </c>
      <c r="CD5" s="28">
        <v>45876</v>
      </c>
      <c r="CE5" s="28">
        <v>45877</v>
      </c>
      <c r="CF5" s="28">
        <v>45878</v>
      </c>
      <c r="CG5" s="28">
        <v>45879</v>
      </c>
      <c r="CH5" s="28">
        <v>45880</v>
      </c>
      <c r="CI5" s="28">
        <v>45881</v>
      </c>
      <c r="CJ5" s="28"/>
      <c r="CK5" s="28">
        <v>45911</v>
      </c>
      <c r="CL5" s="28">
        <v>45914</v>
      </c>
      <c r="CM5" s="28">
        <v>45916</v>
      </c>
      <c r="CN5" s="28">
        <v>45918</v>
      </c>
      <c r="CO5" s="28">
        <v>45921</v>
      </c>
      <c r="CP5" s="28">
        <v>45923</v>
      </c>
      <c r="CQ5" s="28">
        <v>45925</v>
      </c>
      <c r="CR5" s="28">
        <v>45928</v>
      </c>
      <c r="CS5" s="28">
        <v>45930</v>
      </c>
      <c r="CT5" s="28"/>
      <c r="CU5" s="28">
        <v>45932</v>
      </c>
      <c r="CV5" s="28">
        <v>45935</v>
      </c>
      <c r="CW5" s="28">
        <v>45937</v>
      </c>
      <c r="CX5" s="28">
        <v>45939</v>
      </c>
      <c r="CY5" s="28">
        <v>45942</v>
      </c>
      <c r="CZ5" s="28">
        <v>45944</v>
      </c>
      <c r="DA5" s="28">
        <v>45946</v>
      </c>
      <c r="DB5" s="28">
        <v>45949</v>
      </c>
      <c r="DC5" s="28">
        <v>45951</v>
      </c>
      <c r="DD5" s="28">
        <v>45953</v>
      </c>
      <c r="DE5" s="28">
        <v>45956</v>
      </c>
      <c r="DF5" s="28">
        <v>45957</v>
      </c>
      <c r="DG5" s="28">
        <v>45958</v>
      </c>
      <c r="DH5" s="28"/>
      <c r="DI5" s="28">
        <v>45963</v>
      </c>
      <c r="DJ5" s="28">
        <v>45965</v>
      </c>
      <c r="DK5" s="28">
        <v>45967</v>
      </c>
      <c r="DL5" s="28">
        <v>45970</v>
      </c>
      <c r="DM5" s="28">
        <v>45972</v>
      </c>
      <c r="DN5" s="28">
        <v>45974</v>
      </c>
      <c r="DO5" s="28">
        <v>45977</v>
      </c>
      <c r="DP5" s="28">
        <v>45979</v>
      </c>
      <c r="DQ5" s="28">
        <v>45981</v>
      </c>
      <c r="DR5" s="28">
        <v>45984</v>
      </c>
      <c r="DS5" s="28">
        <v>45986</v>
      </c>
      <c r="DT5" s="28">
        <v>45988</v>
      </c>
      <c r="DU5" s="28">
        <v>45991</v>
      </c>
      <c r="DW5" s="28">
        <v>45993</v>
      </c>
      <c r="DX5" s="28">
        <v>45995</v>
      </c>
      <c r="DY5" s="28">
        <v>45967</v>
      </c>
      <c r="DZ5" s="28">
        <v>45998</v>
      </c>
      <c r="EA5" s="28">
        <v>46000</v>
      </c>
      <c r="EB5" s="28">
        <v>46002</v>
      </c>
      <c r="EC5" s="28">
        <v>46005</v>
      </c>
      <c r="ED5" s="28">
        <v>46007</v>
      </c>
      <c r="EE5" s="28">
        <v>46009</v>
      </c>
      <c r="EF5" s="28">
        <v>46012</v>
      </c>
      <c r="EG5" s="28">
        <v>46014</v>
      </c>
      <c r="EH5" s="28">
        <v>46016</v>
      </c>
      <c r="EI5" s="28">
        <v>46019</v>
      </c>
      <c r="EJ5" s="28">
        <v>46021</v>
      </c>
      <c r="EK5" s="8"/>
      <c r="EL5" s="8"/>
      <c r="EM5" s="8"/>
      <c r="EN5" s="199"/>
      <c r="EO5" s="8"/>
      <c r="EP5" s="8"/>
      <c r="EQ5" s="8"/>
      <c r="ER5" s="8"/>
      <c r="ES5" s="8"/>
      <c r="ET5" s="8"/>
      <c r="EU5" s="8"/>
      <c r="EV5" s="8"/>
    </row>
    <row r="6" spans="1:152" ht="16.5" thickBot="1" x14ac:dyDescent="0.3">
      <c r="A6" s="152" t="s">
        <v>4</v>
      </c>
      <c r="B6" s="152" t="s">
        <v>364</v>
      </c>
      <c r="C6" s="152" t="s">
        <v>3</v>
      </c>
      <c r="D6" s="152" t="s">
        <v>66</v>
      </c>
      <c r="E6" s="178" t="s">
        <v>2</v>
      </c>
      <c r="F6" s="179" t="s">
        <v>174</v>
      </c>
      <c r="G6" s="178" t="s">
        <v>1</v>
      </c>
      <c r="H6" s="179" t="s">
        <v>2</v>
      </c>
      <c r="I6" s="178" t="s">
        <v>174</v>
      </c>
      <c r="J6" s="179" t="s">
        <v>1</v>
      </c>
      <c r="K6" s="178" t="s">
        <v>2</v>
      </c>
      <c r="L6" s="178" t="s">
        <v>174</v>
      </c>
      <c r="M6" s="179" t="s">
        <v>1</v>
      </c>
      <c r="N6" s="178" t="s">
        <v>2</v>
      </c>
      <c r="O6" s="178" t="s">
        <v>174</v>
      </c>
      <c r="P6" s="179" t="s">
        <v>1</v>
      </c>
      <c r="Q6" s="180" t="s">
        <v>2</v>
      </c>
      <c r="R6" s="187" t="s">
        <v>1</v>
      </c>
      <c r="S6" s="188" t="s">
        <v>2</v>
      </c>
      <c r="T6" s="188" t="s">
        <v>174</v>
      </c>
      <c r="U6" s="189" t="s">
        <v>1</v>
      </c>
      <c r="V6" s="190" t="s">
        <v>2</v>
      </c>
      <c r="W6" s="191" t="s">
        <v>174</v>
      </c>
      <c r="X6" s="188" t="s">
        <v>1</v>
      </c>
      <c r="Y6" s="191" t="s">
        <v>2</v>
      </c>
      <c r="Z6" s="188" t="s">
        <v>174</v>
      </c>
      <c r="AA6" s="191" t="s">
        <v>1</v>
      </c>
      <c r="AB6" s="188" t="s">
        <v>2</v>
      </c>
      <c r="AC6" s="188" t="s">
        <v>174</v>
      </c>
      <c r="AD6" s="191" t="s">
        <v>1</v>
      </c>
      <c r="AE6" s="188" t="s">
        <v>2</v>
      </c>
      <c r="AF6" s="188" t="s">
        <v>174</v>
      </c>
      <c r="AG6" s="191" t="s">
        <v>1</v>
      </c>
      <c r="AH6" s="192" t="s">
        <v>2</v>
      </c>
      <c r="AI6" s="173" t="s">
        <v>2</v>
      </c>
      <c r="AJ6" s="136" t="s">
        <v>1</v>
      </c>
      <c r="AK6" s="137" t="s">
        <v>2</v>
      </c>
      <c r="AL6" s="136" t="s">
        <v>1</v>
      </c>
      <c r="AM6" s="137" t="s">
        <v>2</v>
      </c>
      <c r="AN6" s="136" t="s">
        <v>1</v>
      </c>
      <c r="AO6" s="139"/>
      <c r="AP6" s="136" t="s">
        <v>174</v>
      </c>
      <c r="AQ6" s="136" t="s">
        <v>1</v>
      </c>
      <c r="AR6" s="137" t="s">
        <v>2</v>
      </c>
      <c r="AS6" s="136" t="s">
        <v>1</v>
      </c>
      <c r="AT6" s="137" t="s">
        <v>2</v>
      </c>
      <c r="AU6" s="136" t="s">
        <v>1</v>
      </c>
      <c r="AV6" s="137" t="s">
        <v>2</v>
      </c>
      <c r="AW6" s="136" t="s">
        <v>1</v>
      </c>
      <c r="AX6" s="137" t="s">
        <v>2</v>
      </c>
      <c r="AY6" s="139"/>
      <c r="AZ6" s="136" t="s">
        <v>1</v>
      </c>
      <c r="BA6" s="137" t="s">
        <v>2</v>
      </c>
      <c r="BB6" s="136" t="s">
        <v>1</v>
      </c>
      <c r="BC6" s="137" t="s">
        <v>2</v>
      </c>
      <c r="BD6" s="136" t="s">
        <v>174</v>
      </c>
      <c r="BE6" s="137" t="s">
        <v>1</v>
      </c>
      <c r="BF6" s="136" t="s">
        <v>174</v>
      </c>
      <c r="BG6" s="137" t="s">
        <v>1</v>
      </c>
      <c r="BH6" s="136" t="s">
        <v>2</v>
      </c>
      <c r="BI6" s="137" t="s">
        <v>174</v>
      </c>
      <c r="BJ6" s="139"/>
      <c r="BK6" s="136" t="s">
        <v>1</v>
      </c>
      <c r="BL6" s="137" t="s">
        <v>2</v>
      </c>
      <c r="BM6" s="136" t="s">
        <v>174</v>
      </c>
      <c r="BN6" s="137" t="s">
        <v>1</v>
      </c>
      <c r="BO6" s="136" t="s">
        <v>2</v>
      </c>
      <c r="BP6" s="137" t="s">
        <v>174</v>
      </c>
      <c r="BQ6" s="136" t="s">
        <v>1</v>
      </c>
      <c r="BR6" s="137" t="s">
        <v>2</v>
      </c>
      <c r="BS6" s="137" t="s">
        <v>174</v>
      </c>
      <c r="BT6" s="136" t="s">
        <v>1</v>
      </c>
      <c r="BU6" s="137" t="s">
        <v>2</v>
      </c>
      <c r="BV6" s="137" t="s">
        <v>174</v>
      </c>
      <c r="BW6" s="136" t="s">
        <v>1</v>
      </c>
      <c r="BX6" s="137" t="s">
        <v>2</v>
      </c>
      <c r="BY6" s="139"/>
      <c r="BZ6" s="137" t="s">
        <v>2</v>
      </c>
      <c r="CA6" s="137" t="s">
        <v>2</v>
      </c>
      <c r="CB6" s="136" t="s">
        <v>1</v>
      </c>
      <c r="CC6" s="137" t="s">
        <v>2</v>
      </c>
      <c r="CD6" s="136" t="s">
        <v>174</v>
      </c>
      <c r="CE6" s="137" t="s">
        <v>1</v>
      </c>
      <c r="CF6" s="136" t="s">
        <v>174</v>
      </c>
      <c r="CG6" s="137" t="s">
        <v>1</v>
      </c>
      <c r="CH6" s="136" t="s">
        <v>2</v>
      </c>
      <c r="CI6" s="137" t="s">
        <v>174</v>
      </c>
      <c r="CJ6" s="139"/>
      <c r="CK6" s="137" t="s">
        <v>2</v>
      </c>
      <c r="CL6" s="137" t="s">
        <v>251</v>
      </c>
      <c r="CM6" s="136" t="s">
        <v>1</v>
      </c>
      <c r="CN6" s="137" t="s">
        <v>2</v>
      </c>
      <c r="CO6" s="137" t="s">
        <v>251</v>
      </c>
      <c r="CP6" s="136" t="s">
        <v>1</v>
      </c>
      <c r="CQ6" s="137" t="s">
        <v>2</v>
      </c>
      <c r="CR6" s="137" t="s">
        <v>251</v>
      </c>
      <c r="CS6" s="136" t="s">
        <v>1</v>
      </c>
      <c r="CT6" s="139"/>
      <c r="CU6" s="137" t="s">
        <v>2</v>
      </c>
      <c r="CV6" s="137" t="s">
        <v>251</v>
      </c>
      <c r="CW6" s="136" t="s">
        <v>1</v>
      </c>
      <c r="CX6" s="137" t="s">
        <v>2</v>
      </c>
      <c r="CY6" s="137" t="s">
        <v>251</v>
      </c>
      <c r="CZ6" s="136" t="s">
        <v>1</v>
      </c>
      <c r="DA6" s="137" t="s">
        <v>2</v>
      </c>
      <c r="DB6" s="137" t="s">
        <v>251</v>
      </c>
      <c r="DC6" s="136" t="s">
        <v>1</v>
      </c>
      <c r="DD6" s="137" t="s">
        <v>2</v>
      </c>
      <c r="DE6" s="137" t="s">
        <v>251</v>
      </c>
      <c r="DF6" s="136" t="s">
        <v>1</v>
      </c>
      <c r="DG6" s="137" t="s">
        <v>2</v>
      </c>
      <c r="DH6" s="139"/>
      <c r="DI6" s="137" t="s">
        <v>251</v>
      </c>
      <c r="DJ6" s="136" t="s">
        <v>1</v>
      </c>
      <c r="DK6" s="137" t="s">
        <v>2</v>
      </c>
      <c r="DL6" s="137" t="s">
        <v>251</v>
      </c>
      <c r="DM6" s="136" t="s">
        <v>1</v>
      </c>
      <c r="DN6" s="137" t="s">
        <v>2</v>
      </c>
      <c r="DO6" s="137" t="s">
        <v>251</v>
      </c>
      <c r="DP6" s="136" t="s">
        <v>1</v>
      </c>
      <c r="DQ6" s="137" t="s">
        <v>2</v>
      </c>
      <c r="DR6" s="137" t="s">
        <v>251</v>
      </c>
      <c r="DS6" s="136" t="s">
        <v>1</v>
      </c>
      <c r="DT6" s="137" t="s">
        <v>2</v>
      </c>
      <c r="DU6" s="137" t="s">
        <v>251</v>
      </c>
      <c r="DV6" s="139"/>
      <c r="DW6" s="136" t="s">
        <v>1</v>
      </c>
      <c r="DX6" s="137" t="s">
        <v>2</v>
      </c>
      <c r="DY6" s="137" t="s">
        <v>251</v>
      </c>
      <c r="DZ6" s="137" t="s">
        <v>251</v>
      </c>
      <c r="EA6" s="136" t="s">
        <v>1</v>
      </c>
      <c r="EB6" s="137" t="s">
        <v>2</v>
      </c>
      <c r="EC6" s="137" t="s">
        <v>251</v>
      </c>
      <c r="ED6" s="136" t="s">
        <v>1</v>
      </c>
      <c r="EE6" s="137" t="s">
        <v>2</v>
      </c>
      <c r="EF6" s="137" t="s">
        <v>251</v>
      </c>
      <c r="EG6" s="136" t="s">
        <v>1</v>
      </c>
      <c r="EH6" s="137" t="s">
        <v>2</v>
      </c>
      <c r="EI6" s="137" t="s">
        <v>251</v>
      </c>
      <c r="EJ6" s="136" t="s">
        <v>1</v>
      </c>
    </row>
    <row r="7" spans="1:152" x14ac:dyDescent="0.25">
      <c r="A7" s="130" t="s">
        <v>5</v>
      </c>
      <c r="B7" s="130"/>
      <c r="C7" s="130">
        <v>1</v>
      </c>
      <c r="D7" s="177">
        <v>45615</v>
      </c>
      <c r="E7" s="181">
        <v>1</v>
      </c>
      <c r="F7" s="182">
        <v>1</v>
      </c>
      <c r="G7" s="182"/>
      <c r="H7" s="182">
        <v>1</v>
      </c>
      <c r="I7" s="182"/>
      <c r="J7" s="182">
        <v>1</v>
      </c>
      <c r="K7" s="182"/>
      <c r="L7" s="182">
        <v>1</v>
      </c>
      <c r="M7" s="182">
        <v>1</v>
      </c>
      <c r="N7" s="182">
        <v>1</v>
      </c>
      <c r="O7" s="182">
        <v>1</v>
      </c>
      <c r="P7" s="182">
        <v>1</v>
      </c>
      <c r="Q7" s="183" t="s">
        <v>37</v>
      </c>
      <c r="R7" s="184">
        <v>1</v>
      </c>
      <c r="S7" s="185">
        <v>1</v>
      </c>
      <c r="T7" s="185"/>
      <c r="U7" s="186">
        <v>1</v>
      </c>
      <c r="V7" s="184">
        <v>1</v>
      </c>
      <c r="W7" s="185">
        <v>1</v>
      </c>
      <c r="X7" s="185">
        <v>1</v>
      </c>
      <c r="Y7" s="185">
        <v>1</v>
      </c>
      <c r="Z7" s="185">
        <v>1</v>
      </c>
      <c r="AA7" s="185">
        <v>1</v>
      </c>
      <c r="AB7" s="185">
        <v>1</v>
      </c>
      <c r="AC7" s="185"/>
      <c r="AD7" s="185">
        <v>1</v>
      </c>
      <c r="AE7" s="185">
        <v>1</v>
      </c>
      <c r="AF7" s="185">
        <v>1</v>
      </c>
      <c r="AG7" s="185"/>
      <c r="AH7" s="186"/>
      <c r="AI7" s="174"/>
      <c r="AJ7" s="132"/>
      <c r="AK7" s="132"/>
      <c r="AL7" s="132"/>
      <c r="AM7" s="132"/>
      <c r="AN7" s="132"/>
      <c r="AO7" s="139"/>
      <c r="AP7" s="132"/>
      <c r="AQ7" s="132"/>
      <c r="AR7" s="132"/>
      <c r="AS7" s="132"/>
      <c r="AT7" s="132"/>
      <c r="AU7" s="132"/>
      <c r="AV7" s="132"/>
      <c r="AW7" s="132"/>
      <c r="AX7" s="132"/>
      <c r="AY7" s="139"/>
      <c r="AZ7" s="132"/>
      <c r="BA7" s="132"/>
      <c r="BB7" s="132"/>
      <c r="BC7" s="132"/>
      <c r="BD7" s="132"/>
      <c r="BE7" s="132"/>
      <c r="BF7" s="132"/>
      <c r="BG7" s="132"/>
      <c r="BH7" s="132"/>
      <c r="BI7" s="132"/>
      <c r="BJ7" s="139"/>
      <c r="BK7" s="132"/>
      <c r="BL7" s="132"/>
      <c r="BM7" s="132"/>
      <c r="BN7" s="132"/>
      <c r="BO7" s="132"/>
      <c r="BP7" s="132"/>
      <c r="BQ7" s="132"/>
      <c r="BR7" s="132"/>
      <c r="BS7" s="132"/>
      <c r="BT7" s="132"/>
      <c r="BU7" s="132"/>
      <c r="BV7" s="132"/>
      <c r="BW7" s="132"/>
      <c r="BX7" s="132"/>
      <c r="BY7" s="139"/>
      <c r="BZ7" s="132"/>
      <c r="CA7" s="132"/>
      <c r="CB7" s="132"/>
      <c r="CC7" s="132"/>
      <c r="CD7" s="132"/>
      <c r="CE7" s="132"/>
      <c r="CF7" s="132"/>
      <c r="CG7" s="132"/>
      <c r="CH7" s="132"/>
      <c r="CI7" s="132"/>
      <c r="CJ7" s="139"/>
      <c r="CK7" s="132"/>
      <c r="CL7" s="132"/>
      <c r="CM7" s="132"/>
      <c r="CN7" s="132"/>
      <c r="CO7" s="132"/>
      <c r="CP7" s="132"/>
      <c r="CQ7" s="132"/>
      <c r="CR7" s="132"/>
      <c r="CS7" s="132"/>
      <c r="CT7" s="139"/>
      <c r="CU7" s="132"/>
      <c r="CV7" s="132"/>
      <c r="CW7" s="132"/>
      <c r="CX7" s="132"/>
      <c r="CY7" s="132"/>
      <c r="CZ7" s="132"/>
      <c r="DA7" s="132"/>
      <c r="DB7" s="132"/>
      <c r="DC7" s="132"/>
      <c r="DD7" s="132"/>
      <c r="DE7" s="132"/>
      <c r="DF7" s="132"/>
      <c r="DG7" s="132"/>
      <c r="DH7" s="139"/>
      <c r="DI7" s="109"/>
      <c r="DJ7" s="109"/>
      <c r="DK7" s="133"/>
      <c r="DL7" s="109"/>
      <c r="DM7" s="133"/>
      <c r="DN7" s="132"/>
      <c r="DO7" s="132"/>
      <c r="DP7" s="132"/>
      <c r="DQ7" s="132"/>
      <c r="DR7" s="132"/>
      <c r="DS7" s="132"/>
      <c r="DT7" s="132"/>
      <c r="DU7" s="132"/>
      <c r="DV7" s="139"/>
      <c r="DW7" s="132"/>
      <c r="DX7" s="132"/>
      <c r="DY7" s="109"/>
      <c r="DZ7" s="133"/>
      <c r="EA7" s="109"/>
      <c r="EB7" s="133"/>
      <c r="EC7" s="132"/>
      <c r="ED7" s="132"/>
      <c r="EE7" s="132"/>
      <c r="EF7" s="132"/>
      <c r="EG7" s="132"/>
      <c r="EH7" s="132"/>
      <c r="EI7" s="132"/>
      <c r="EJ7" s="132"/>
      <c r="EK7" s="5">
        <f t="shared" ref="EK7:EK27" si="0">SUM(E7:EJ7)</f>
        <v>22</v>
      </c>
      <c r="EL7" s="5">
        <v>1</v>
      </c>
      <c r="EM7" s="5">
        <f>EL7*12</f>
        <v>12</v>
      </c>
      <c r="EN7" s="153">
        <v>19</v>
      </c>
      <c r="EO7" s="7">
        <f>EM7-EK7+EN7</f>
        <v>9</v>
      </c>
      <c r="EP7" s="40" t="str">
        <f>IF(EO7&gt;0, "", "NO")</f>
        <v/>
      </c>
      <c r="EQ7" s="41" t="str">
        <f>IF(EO7&gt;0, "", A7)</f>
        <v/>
      </c>
      <c r="ET7" s="161" t="s">
        <v>5</v>
      </c>
    </row>
    <row r="8" spans="1:152" x14ac:dyDescent="0.25">
      <c r="A8" s="130" t="s">
        <v>6</v>
      </c>
      <c r="B8" s="130"/>
      <c r="C8" s="130">
        <v>2</v>
      </c>
      <c r="D8" s="177">
        <v>45615</v>
      </c>
      <c r="E8" s="175">
        <v>1</v>
      </c>
      <c r="F8" s="132">
        <v>1</v>
      </c>
      <c r="G8" s="132"/>
      <c r="H8" s="132">
        <v>1</v>
      </c>
      <c r="I8" s="132"/>
      <c r="J8" s="132">
        <v>1</v>
      </c>
      <c r="K8" s="132">
        <v>1</v>
      </c>
      <c r="L8" s="132"/>
      <c r="M8" s="132">
        <v>1</v>
      </c>
      <c r="N8" s="132">
        <v>1</v>
      </c>
      <c r="O8" s="132">
        <v>1</v>
      </c>
      <c r="P8" s="132">
        <v>1</v>
      </c>
      <c r="Q8" s="176" t="s">
        <v>37</v>
      </c>
      <c r="R8" s="175">
        <v>1</v>
      </c>
      <c r="S8" s="132">
        <v>1</v>
      </c>
      <c r="T8" s="132"/>
      <c r="U8" s="176">
        <v>1</v>
      </c>
      <c r="V8" s="175">
        <v>1</v>
      </c>
      <c r="W8" s="132">
        <v>1</v>
      </c>
      <c r="X8" s="132">
        <v>1</v>
      </c>
      <c r="Y8" s="132">
        <v>1</v>
      </c>
      <c r="Z8" s="132">
        <v>1</v>
      </c>
      <c r="AA8" s="132">
        <v>1</v>
      </c>
      <c r="AB8" s="132">
        <v>1</v>
      </c>
      <c r="AC8" s="132"/>
      <c r="AD8" s="132">
        <v>1</v>
      </c>
      <c r="AE8" s="132">
        <v>1</v>
      </c>
      <c r="AF8" s="132">
        <v>1</v>
      </c>
      <c r="AG8" s="132"/>
      <c r="AH8" s="176"/>
      <c r="AI8" s="174"/>
      <c r="AJ8" s="132"/>
      <c r="AK8" s="132"/>
      <c r="AL8" s="132"/>
      <c r="AM8" s="132"/>
      <c r="AN8" s="132"/>
      <c r="AO8" s="139"/>
      <c r="AP8" s="132"/>
      <c r="AQ8" s="132"/>
      <c r="AR8" s="132"/>
      <c r="AS8" s="132"/>
      <c r="AT8" s="132"/>
      <c r="AU8" s="132"/>
      <c r="AV8" s="132"/>
      <c r="AW8" s="132"/>
      <c r="AX8" s="132"/>
      <c r="AY8" s="139"/>
      <c r="AZ8" s="132"/>
      <c r="BA8" s="132"/>
      <c r="BB8" s="132"/>
      <c r="BC8" s="132"/>
      <c r="BD8" s="132"/>
      <c r="BE8" s="132"/>
      <c r="BF8" s="132"/>
      <c r="BG8" s="132"/>
      <c r="BH8" s="132"/>
      <c r="BI8" s="132"/>
      <c r="BJ8" s="139"/>
      <c r="BK8" s="132"/>
      <c r="BL8" s="132"/>
      <c r="BM8" s="132"/>
      <c r="BN8" s="132"/>
      <c r="BO8" s="132"/>
      <c r="BP8" s="132"/>
      <c r="BQ8" s="132"/>
      <c r="BR8" s="132"/>
      <c r="BS8" s="132"/>
      <c r="BT8" s="132"/>
      <c r="BU8" s="132"/>
      <c r="BV8" s="132"/>
      <c r="BW8" s="132"/>
      <c r="BX8" s="132"/>
      <c r="BY8" s="139"/>
      <c r="BZ8" s="132"/>
      <c r="CA8" s="132"/>
      <c r="CB8" s="132"/>
      <c r="CC8" s="132"/>
      <c r="CD8" s="132"/>
      <c r="CE8" s="132"/>
      <c r="CF8" s="132"/>
      <c r="CG8" s="132"/>
      <c r="CH8" s="132"/>
      <c r="CI8" s="132"/>
      <c r="CJ8" s="139"/>
      <c r="CK8" s="132"/>
      <c r="CL8" s="132"/>
      <c r="CM8" s="132"/>
      <c r="CN8" s="132"/>
      <c r="CO8" s="132"/>
      <c r="CP8" s="132"/>
      <c r="CQ8" s="132"/>
      <c r="CR8" s="132"/>
      <c r="CS8" s="132"/>
      <c r="CT8" s="139"/>
      <c r="CU8" s="132"/>
      <c r="CV8" s="132"/>
      <c r="CW8" s="132"/>
      <c r="CX8" s="132"/>
      <c r="CY8" s="132"/>
      <c r="CZ8" s="132"/>
      <c r="DA8" s="132"/>
      <c r="DB8" s="132"/>
      <c r="DC8" s="132"/>
      <c r="DD8" s="132"/>
      <c r="DE8" s="132"/>
      <c r="DF8" s="132"/>
      <c r="DG8" s="132"/>
      <c r="DH8" s="139"/>
      <c r="DI8" s="109"/>
      <c r="DJ8" s="109"/>
      <c r="DK8" s="133"/>
      <c r="DL8" s="109"/>
      <c r="DM8" s="132"/>
      <c r="DN8" s="132"/>
      <c r="DO8" s="132"/>
      <c r="DP8" s="132"/>
      <c r="DQ8" s="132"/>
      <c r="DR8" s="132"/>
      <c r="DS8" s="132"/>
      <c r="DT8" s="132"/>
      <c r="DU8" s="132"/>
      <c r="DV8" s="139"/>
      <c r="DW8" s="132"/>
      <c r="DX8" s="132"/>
      <c r="DY8" s="109"/>
      <c r="DZ8" s="133"/>
      <c r="EA8" s="109"/>
      <c r="EB8" s="133"/>
      <c r="EC8" s="132"/>
      <c r="ED8" s="132"/>
      <c r="EE8" s="132"/>
      <c r="EF8" s="132"/>
      <c r="EG8" s="132"/>
      <c r="EH8" s="132"/>
      <c r="EI8" s="132"/>
      <c r="EJ8" s="132"/>
      <c r="EK8" s="5">
        <f t="shared" si="0"/>
        <v>22</v>
      </c>
      <c r="EL8" s="5">
        <v>1</v>
      </c>
      <c r="EM8" s="5">
        <f t="shared" ref="EM8:EM45" si="1">EL8*12</f>
        <v>12</v>
      </c>
      <c r="EN8" s="153">
        <v>18</v>
      </c>
      <c r="EO8" s="7">
        <f t="shared" ref="EO8:EO45" si="2">EM8-EK8+EN8</f>
        <v>8</v>
      </c>
      <c r="EP8" s="40" t="str">
        <f t="shared" ref="EP8:EP40" si="3">IF(EO8&gt;0, "","NO")</f>
        <v/>
      </c>
      <c r="EQ8" s="41" t="str">
        <f>IF(EO8&gt;0, "", A8)</f>
        <v/>
      </c>
      <c r="ET8" s="161" t="s">
        <v>6</v>
      </c>
    </row>
    <row r="9" spans="1:152" x14ac:dyDescent="0.25">
      <c r="A9" s="130" t="s">
        <v>18</v>
      </c>
      <c r="B9" s="130"/>
      <c r="C9" s="130">
        <v>3</v>
      </c>
      <c r="D9" s="177">
        <v>45689</v>
      </c>
      <c r="E9" s="175">
        <v>1</v>
      </c>
      <c r="F9" s="132">
        <v>1</v>
      </c>
      <c r="G9" s="132">
        <v>1</v>
      </c>
      <c r="H9" s="132">
        <v>1</v>
      </c>
      <c r="I9" s="132">
        <v>1</v>
      </c>
      <c r="J9" s="132">
        <v>1</v>
      </c>
      <c r="K9" s="132">
        <v>1</v>
      </c>
      <c r="L9" s="132">
        <v>1</v>
      </c>
      <c r="M9" s="132">
        <v>1</v>
      </c>
      <c r="N9" s="132">
        <v>1</v>
      </c>
      <c r="O9" s="132">
        <v>1</v>
      </c>
      <c r="P9" s="132">
        <v>1</v>
      </c>
      <c r="Q9" s="176" t="s">
        <v>37</v>
      </c>
      <c r="R9" s="175"/>
      <c r="S9" s="132"/>
      <c r="T9" s="132">
        <v>1</v>
      </c>
      <c r="U9" s="176">
        <v>1</v>
      </c>
      <c r="V9" s="175">
        <v>1</v>
      </c>
      <c r="W9" s="132">
        <v>1</v>
      </c>
      <c r="X9" s="132">
        <v>1</v>
      </c>
      <c r="Y9" s="132">
        <v>1</v>
      </c>
      <c r="Z9" s="132">
        <v>1</v>
      </c>
      <c r="AA9" s="132">
        <v>1</v>
      </c>
      <c r="AB9" s="132">
        <v>1</v>
      </c>
      <c r="AC9" s="132">
        <v>1</v>
      </c>
      <c r="AD9" s="132">
        <v>1</v>
      </c>
      <c r="AE9" s="132">
        <v>1</v>
      </c>
      <c r="AF9" s="132">
        <v>1</v>
      </c>
      <c r="AG9" s="132">
        <v>1</v>
      </c>
      <c r="AH9" s="176"/>
      <c r="AI9" s="174"/>
      <c r="AJ9" s="132"/>
      <c r="AK9" s="132"/>
      <c r="AL9" s="132"/>
      <c r="AM9" s="132"/>
      <c r="AN9" s="132"/>
      <c r="AO9" s="139"/>
      <c r="AP9" s="132"/>
      <c r="AQ9" s="132"/>
      <c r="AR9" s="132"/>
      <c r="AS9" s="132"/>
      <c r="AT9" s="132"/>
      <c r="AU9" s="132"/>
      <c r="AV9" s="132"/>
      <c r="AW9" s="132"/>
      <c r="AX9" s="132"/>
      <c r="AY9" s="139"/>
      <c r="AZ9" s="132"/>
      <c r="BA9" s="132"/>
      <c r="BB9" s="132"/>
      <c r="BC9" s="132"/>
      <c r="BD9" s="132"/>
      <c r="BE9" s="132"/>
      <c r="BF9" s="132"/>
      <c r="BG9" s="132"/>
      <c r="BH9" s="132"/>
      <c r="BI9" s="132"/>
      <c r="BJ9" s="139"/>
      <c r="BK9" s="132"/>
      <c r="BL9" s="132"/>
      <c r="BM9" s="132"/>
      <c r="BN9" s="132"/>
      <c r="BO9" s="132"/>
      <c r="BP9" s="132"/>
      <c r="BQ9" s="132"/>
      <c r="BR9" s="132"/>
      <c r="BS9" s="132"/>
      <c r="BT9" s="132"/>
      <c r="BU9" s="132"/>
      <c r="BV9" s="132"/>
      <c r="BW9" s="132"/>
      <c r="BX9" s="132"/>
      <c r="BY9" s="139"/>
      <c r="BZ9" s="132"/>
      <c r="CA9" s="132"/>
      <c r="CB9" s="132"/>
      <c r="CC9" s="132"/>
      <c r="CD9" s="132"/>
      <c r="CE9" s="132"/>
      <c r="CF9" s="132"/>
      <c r="CG9" s="132"/>
      <c r="CH9" s="132"/>
      <c r="CI9" s="132"/>
      <c r="CJ9" s="139"/>
      <c r="CK9" s="132"/>
      <c r="CL9" s="132"/>
      <c r="CM9" s="132"/>
      <c r="CN9" s="132"/>
      <c r="CO9" s="132"/>
      <c r="CP9" s="132"/>
      <c r="CQ9" s="132"/>
      <c r="CR9" s="132"/>
      <c r="CS9" s="132"/>
      <c r="CT9" s="139"/>
      <c r="CU9" s="132"/>
      <c r="CV9" s="132"/>
      <c r="CW9" s="132"/>
      <c r="CX9" s="132"/>
      <c r="CY9" s="132"/>
      <c r="CZ9" s="132"/>
      <c r="DA9" s="132"/>
      <c r="DB9" s="132"/>
      <c r="DC9" s="132"/>
      <c r="DD9" s="132"/>
      <c r="DE9" s="132"/>
      <c r="DF9" s="132"/>
      <c r="DG9" s="132"/>
      <c r="DH9" s="139"/>
      <c r="DI9" s="109"/>
      <c r="DJ9" s="109"/>
      <c r="DK9" s="133"/>
      <c r="DL9" s="109"/>
      <c r="DM9" s="132"/>
      <c r="DN9" s="132"/>
      <c r="DO9" s="132"/>
      <c r="DP9" s="132"/>
      <c r="DQ9" s="132"/>
      <c r="DR9" s="132"/>
      <c r="DS9" s="132"/>
      <c r="DT9" s="132"/>
      <c r="DU9" s="149"/>
      <c r="DV9" s="139"/>
      <c r="DW9" s="132"/>
      <c r="DX9" s="132"/>
      <c r="DY9" s="109"/>
      <c r="DZ9" s="133"/>
      <c r="EA9" s="109"/>
      <c r="EB9" s="133"/>
      <c r="EC9" s="132"/>
      <c r="ED9" s="132"/>
      <c r="EE9" s="132"/>
      <c r="EF9" s="132"/>
      <c r="EG9" s="132"/>
      <c r="EH9" s="132"/>
      <c r="EI9" s="132"/>
      <c r="EJ9" s="132"/>
      <c r="EK9" s="5">
        <f t="shared" si="0"/>
        <v>26</v>
      </c>
      <c r="EL9" s="5">
        <v>2</v>
      </c>
      <c r="EM9" s="5">
        <f t="shared" si="1"/>
        <v>24</v>
      </c>
      <c r="EN9" s="153">
        <v>0</v>
      </c>
      <c r="EO9" s="7">
        <f t="shared" si="2"/>
        <v>-2</v>
      </c>
      <c r="EP9" s="40" t="str">
        <f t="shared" si="3"/>
        <v>NO</v>
      </c>
      <c r="EQ9" s="41"/>
      <c r="ET9" s="163" t="s">
        <v>18</v>
      </c>
    </row>
    <row r="10" spans="1:152" x14ac:dyDescent="0.25">
      <c r="A10" s="130" t="s">
        <v>19</v>
      </c>
      <c r="B10" s="130"/>
      <c r="C10" s="130">
        <v>4</v>
      </c>
      <c r="D10" s="177">
        <v>45689</v>
      </c>
      <c r="E10" s="175">
        <v>1</v>
      </c>
      <c r="F10" s="132">
        <v>1</v>
      </c>
      <c r="G10" s="132">
        <v>1</v>
      </c>
      <c r="H10" s="132">
        <v>1</v>
      </c>
      <c r="I10" s="132">
        <v>1</v>
      </c>
      <c r="J10" s="132">
        <v>1</v>
      </c>
      <c r="K10" s="132">
        <v>1</v>
      </c>
      <c r="L10" s="132">
        <v>1</v>
      </c>
      <c r="M10" s="132">
        <v>1</v>
      </c>
      <c r="N10" s="132">
        <v>1</v>
      </c>
      <c r="O10" s="132">
        <v>1</v>
      </c>
      <c r="P10" s="132">
        <v>1</v>
      </c>
      <c r="Q10" s="176" t="s">
        <v>37</v>
      </c>
      <c r="R10" s="175"/>
      <c r="S10" s="132"/>
      <c r="T10" s="132">
        <v>1</v>
      </c>
      <c r="U10" s="176">
        <v>1</v>
      </c>
      <c r="V10" s="175">
        <v>1</v>
      </c>
      <c r="W10" s="132">
        <v>1</v>
      </c>
      <c r="X10" s="132">
        <v>1</v>
      </c>
      <c r="Y10" s="132">
        <v>1</v>
      </c>
      <c r="Z10" s="132">
        <v>1</v>
      </c>
      <c r="AA10" s="132">
        <v>1</v>
      </c>
      <c r="AB10" s="132">
        <v>1</v>
      </c>
      <c r="AC10" s="132">
        <v>1</v>
      </c>
      <c r="AD10" s="132">
        <v>1</v>
      </c>
      <c r="AE10" s="132">
        <v>1</v>
      </c>
      <c r="AF10" s="132"/>
      <c r="AG10" s="132"/>
      <c r="AH10" s="176"/>
      <c r="AI10" s="174"/>
      <c r="AJ10" s="132"/>
      <c r="AK10" s="132"/>
      <c r="AL10" s="132"/>
      <c r="AM10" s="132"/>
      <c r="AN10" s="132"/>
      <c r="AO10" s="139"/>
      <c r="AP10" s="132"/>
      <c r="AQ10" s="132"/>
      <c r="AR10" s="132"/>
      <c r="AS10" s="132"/>
      <c r="AT10" s="132"/>
      <c r="AU10" s="132"/>
      <c r="AV10" s="132"/>
      <c r="AW10" s="132"/>
      <c r="AX10" s="132"/>
      <c r="AY10" s="139"/>
      <c r="AZ10" s="132"/>
      <c r="BA10" s="132"/>
      <c r="BB10" s="132"/>
      <c r="BC10" s="132"/>
      <c r="BD10" s="132"/>
      <c r="BE10" s="132"/>
      <c r="BF10" s="132"/>
      <c r="BG10" s="132"/>
      <c r="BH10" s="132"/>
      <c r="BI10" s="132"/>
      <c r="BJ10" s="139"/>
      <c r="BK10" s="132"/>
      <c r="BL10" s="132"/>
      <c r="BM10" s="132"/>
      <c r="BN10" s="132"/>
      <c r="BO10" s="132"/>
      <c r="BP10" s="132"/>
      <c r="BQ10" s="132"/>
      <c r="BR10" s="132"/>
      <c r="BS10" s="132"/>
      <c r="BT10" s="132"/>
      <c r="BU10" s="132"/>
      <c r="BV10" s="132"/>
      <c r="BW10" s="132"/>
      <c r="BX10" s="132"/>
      <c r="BY10" s="139"/>
      <c r="BZ10" s="132"/>
      <c r="CA10" s="132"/>
      <c r="CB10" s="132"/>
      <c r="CC10" s="132"/>
      <c r="CD10" s="132"/>
      <c r="CE10" s="132"/>
      <c r="CF10" s="132"/>
      <c r="CG10" s="132"/>
      <c r="CH10" s="132"/>
      <c r="CI10" s="132"/>
      <c r="CJ10" s="139"/>
      <c r="CK10" s="132"/>
      <c r="CL10" s="132"/>
      <c r="CM10" s="132"/>
      <c r="CN10" s="132"/>
      <c r="CO10" s="132"/>
      <c r="CP10" s="132"/>
      <c r="CQ10" s="132"/>
      <c r="CR10" s="132"/>
      <c r="CS10" s="132"/>
      <c r="CT10" s="139"/>
      <c r="CU10" s="132"/>
      <c r="CV10" s="132"/>
      <c r="CW10" s="132"/>
      <c r="CX10" s="132"/>
      <c r="CY10" s="132"/>
      <c r="CZ10" s="132"/>
      <c r="DA10" s="132"/>
      <c r="DB10" s="132"/>
      <c r="DC10" s="132"/>
      <c r="DD10" s="132"/>
      <c r="DE10" s="132"/>
      <c r="DF10" s="132"/>
      <c r="DG10" s="132"/>
      <c r="DH10" s="139"/>
      <c r="DI10" s="109"/>
      <c r="DJ10" s="109"/>
      <c r="DK10" s="133"/>
      <c r="DL10" s="109"/>
      <c r="DM10" s="132"/>
      <c r="DN10" s="132"/>
      <c r="DO10" s="132"/>
      <c r="DP10" s="132"/>
      <c r="DQ10" s="132"/>
      <c r="DR10" s="132"/>
      <c r="DS10" s="132"/>
      <c r="DT10" s="132"/>
      <c r="DU10" s="149"/>
      <c r="DV10" s="139"/>
      <c r="DW10" s="132"/>
      <c r="DX10" s="132"/>
      <c r="DY10" s="109"/>
      <c r="DZ10" s="133"/>
      <c r="EA10" s="109"/>
      <c r="EB10" s="133"/>
      <c r="EC10" s="132"/>
      <c r="ED10" s="132"/>
      <c r="EE10" s="132"/>
      <c r="EF10" s="132"/>
      <c r="EG10" s="132"/>
      <c r="EH10" s="132"/>
      <c r="EI10" s="132"/>
      <c r="EJ10" s="132"/>
      <c r="EK10" s="5">
        <f t="shared" si="0"/>
        <v>24</v>
      </c>
      <c r="EL10" s="5">
        <v>2</v>
      </c>
      <c r="EM10" s="5">
        <f t="shared" si="1"/>
        <v>24</v>
      </c>
      <c r="EN10" s="153">
        <v>-2</v>
      </c>
      <c r="EO10" s="7">
        <f t="shared" si="2"/>
        <v>-2</v>
      </c>
      <c r="EP10" s="40" t="str">
        <f t="shared" si="3"/>
        <v>NO</v>
      </c>
      <c r="EQ10" s="41" t="str">
        <f t="shared" ref="EQ10:EQ30" si="4">IF(EO10&gt;0, "", A10)</f>
        <v>سلطاني أسماء</v>
      </c>
      <c r="ET10" s="163" t="s">
        <v>19</v>
      </c>
    </row>
    <row r="11" spans="1:152" x14ac:dyDescent="0.25">
      <c r="A11" s="130" t="s">
        <v>25</v>
      </c>
      <c r="B11" s="130"/>
      <c r="C11" s="130">
        <v>5</v>
      </c>
      <c r="D11" s="177">
        <v>45694</v>
      </c>
      <c r="E11" s="175">
        <v>1</v>
      </c>
      <c r="F11" s="132">
        <v>1</v>
      </c>
      <c r="G11" s="132"/>
      <c r="H11" s="132"/>
      <c r="I11" s="132"/>
      <c r="J11" s="132">
        <v>1</v>
      </c>
      <c r="K11" s="132">
        <v>1</v>
      </c>
      <c r="L11" s="132">
        <v>1</v>
      </c>
      <c r="M11" s="132">
        <v>1</v>
      </c>
      <c r="N11" s="132">
        <v>1</v>
      </c>
      <c r="O11" s="132">
        <v>1</v>
      </c>
      <c r="P11" s="132">
        <v>1</v>
      </c>
      <c r="Q11" s="176" t="s">
        <v>37</v>
      </c>
      <c r="R11" s="175"/>
      <c r="S11" s="132"/>
      <c r="T11" s="132"/>
      <c r="U11" s="176"/>
      <c r="V11" s="175"/>
      <c r="W11" s="132"/>
      <c r="X11" s="132">
        <v>1</v>
      </c>
      <c r="Y11" s="132"/>
      <c r="Z11" s="132">
        <v>1</v>
      </c>
      <c r="AA11" s="132">
        <v>1</v>
      </c>
      <c r="AB11" s="132">
        <v>1</v>
      </c>
      <c r="AC11" s="132">
        <v>1</v>
      </c>
      <c r="AD11" s="132">
        <v>1</v>
      </c>
      <c r="AE11" s="132"/>
      <c r="AF11" s="132">
        <v>1</v>
      </c>
      <c r="AG11" s="132">
        <v>1</v>
      </c>
      <c r="AH11" s="176"/>
      <c r="AI11" s="174"/>
      <c r="AJ11" s="132"/>
      <c r="AK11" s="132"/>
      <c r="AL11" s="132"/>
      <c r="AM11" s="132"/>
      <c r="AN11" s="132"/>
      <c r="AO11" s="139"/>
      <c r="AP11" s="132"/>
      <c r="AQ11" s="132"/>
      <c r="AR11" s="132"/>
      <c r="AS11" s="132"/>
      <c r="AT11" s="132"/>
      <c r="AU11" s="132"/>
      <c r="AV11" s="132"/>
      <c r="AW11" s="132"/>
      <c r="AX11" s="132"/>
      <c r="AY11" s="139"/>
      <c r="AZ11" s="132"/>
      <c r="BA11" s="132"/>
      <c r="BB11" s="132"/>
      <c r="BC11" s="132"/>
      <c r="BD11" s="132"/>
      <c r="BE11" s="132"/>
      <c r="BF11" s="132"/>
      <c r="BG11" s="132"/>
      <c r="BH11" s="132"/>
      <c r="BI11" s="132"/>
      <c r="BJ11" s="139"/>
      <c r="BK11" s="132"/>
      <c r="BL11" s="132"/>
      <c r="BM11" s="132"/>
      <c r="BN11" s="132"/>
      <c r="BO11" s="132"/>
      <c r="BP11" s="132"/>
      <c r="BQ11" s="132"/>
      <c r="BR11" s="132"/>
      <c r="BS11" s="132"/>
      <c r="BT11" s="132"/>
      <c r="BU11" s="132"/>
      <c r="BV11" s="132"/>
      <c r="BW11" s="132"/>
      <c r="BX11" s="132"/>
      <c r="BY11" s="139"/>
      <c r="BZ11" s="132"/>
      <c r="CA11" s="132"/>
      <c r="CB11" s="132"/>
      <c r="CC11" s="132"/>
      <c r="CD11" s="132"/>
      <c r="CE11" s="132"/>
      <c r="CF11" s="132"/>
      <c r="CG11" s="132"/>
      <c r="CH11" s="132"/>
      <c r="CI11" s="132"/>
      <c r="CJ11" s="139"/>
      <c r="CK11" s="132"/>
      <c r="CL11" s="132"/>
      <c r="CM11" s="132"/>
      <c r="CN11" s="132"/>
      <c r="CO11" s="132"/>
      <c r="CP11" s="132"/>
      <c r="CQ11" s="132"/>
      <c r="CR11" s="132"/>
      <c r="CS11" s="132"/>
      <c r="CT11" s="139"/>
      <c r="CU11" s="132"/>
      <c r="CV11" s="132"/>
      <c r="CW11" s="132"/>
      <c r="CX11" s="132"/>
      <c r="CY11" s="132"/>
      <c r="CZ11" s="132"/>
      <c r="DA11" s="132"/>
      <c r="DB11" s="132"/>
      <c r="DC11" s="132"/>
      <c r="DD11" s="132"/>
      <c r="DE11" s="132"/>
      <c r="DF11" s="132"/>
      <c r="DG11" s="132"/>
      <c r="DH11" s="139"/>
      <c r="DI11" s="109"/>
      <c r="DJ11" s="109"/>
      <c r="DK11" s="133"/>
      <c r="DL11" s="109"/>
      <c r="DM11" s="132"/>
      <c r="DN11" s="132"/>
      <c r="DO11" s="132"/>
      <c r="DP11" s="132"/>
      <c r="DQ11" s="132"/>
      <c r="DR11" s="132"/>
      <c r="DS11" s="132"/>
      <c r="DT11" s="132"/>
      <c r="DU11" s="132"/>
      <c r="DV11" s="139"/>
      <c r="DW11" s="132"/>
      <c r="DX11" s="132"/>
      <c r="DY11" s="109"/>
      <c r="DZ11" s="133"/>
      <c r="EA11" s="109"/>
      <c r="EB11" s="133"/>
      <c r="EC11" s="132"/>
      <c r="ED11" s="132"/>
      <c r="EE11" s="132"/>
      <c r="EF11" s="132"/>
      <c r="EG11" s="132"/>
      <c r="EH11" s="132"/>
      <c r="EI11" s="132"/>
      <c r="EJ11" s="132"/>
      <c r="EK11" s="5">
        <f t="shared" si="0"/>
        <v>17</v>
      </c>
      <c r="EL11" s="5">
        <v>2</v>
      </c>
      <c r="EM11" s="5">
        <f t="shared" si="1"/>
        <v>24</v>
      </c>
      <c r="EN11" s="153">
        <v>-6</v>
      </c>
      <c r="EO11" s="7">
        <f t="shared" si="2"/>
        <v>1</v>
      </c>
      <c r="EP11" s="40" t="str">
        <f t="shared" si="3"/>
        <v/>
      </c>
      <c r="EQ11" s="41" t="str">
        <f t="shared" si="4"/>
        <v/>
      </c>
      <c r="ET11" s="161" t="s">
        <v>25</v>
      </c>
    </row>
    <row r="12" spans="1:152" x14ac:dyDescent="0.25">
      <c r="A12" s="130" t="s">
        <v>26</v>
      </c>
      <c r="B12" s="130"/>
      <c r="C12" s="130">
        <v>6</v>
      </c>
      <c r="D12" s="177">
        <v>45694</v>
      </c>
      <c r="E12" s="175">
        <v>1</v>
      </c>
      <c r="F12" s="132">
        <v>1</v>
      </c>
      <c r="G12" s="132"/>
      <c r="H12" s="132"/>
      <c r="I12" s="132"/>
      <c r="J12" s="132">
        <v>1</v>
      </c>
      <c r="K12" s="132">
        <v>1</v>
      </c>
      <c r="L12" s="132">
        <v>1</v>
      </c>
      <c r="M12" s="132">
        <v>1</v>
      </c>
      <c r="N12" s="132">
        <v>1</v>
      </c>
      <c r="O12" s="132">
        <v>1</v>
      </c>
      <c r="P12" s="132">
        <v>1</v>
      </c>
      <c r="Q12" s="176" t="s">
        <v>37</v>
      </c>
      <c r="R12" s="175"/>
      <c r="S12" s="132"/>
      <c r="T12" s="132"/>
      <c r="U12" s="176"/>
      <c r="V12" s="175"/>
      <c r="W12" s="132"/>
      <c r="X12" s="132">
        <v>1</v>
      </c>
      <c r="Y12" s="132"/>
      <c r="Z12" s="132">
        <v>1</v>
      </c>
      <c r="AA12" s="132">
        <v>1</v>
      </c>
      <c r="AB12" s="132">
        <v>1</v>
      </c>
      <c r="AC12" s="132">
        <v>1</v>
      </c>
      <c r="AD12" s="132">
        <v>1</v>
      </c>
      <c r="AE12" s="132"/>
      <c r="AF12" s="132">
        <v>1</v>
      </c>
      <c r="AG12" s="132">
        <v>1</v>
      </c>
      <c r="AH12" s="176"/>
      <c r="AI12" s="174"/>
      <c r="AJ12" s="132"/>
      <c r="AK12" s="132"/>
      <c r="AL12" s="132"/>
      <c r="AM12" s="132"/>
      <c r="AN12" s="132"/>
      <c r="AO12" s="139"/>
      <c r="AP12" s="132"/>
      <c r="AQ12" s="132"/>
      <c r="AR12" s="132"/>
      <c r="AS12" s="132"/>
      <c r="AT12" s="132"/>
      <c r="AU12" s="132"/>
      <c r="AV12" s="132"/>
      <c r="AW12" s="132"/>
      <c r="AX12" s="132"/>
      <c r="AY12" s="139"/>
      <c r="AZ12" s="132"/>
      <c r="BA12" s="132"/>
      <c r="BB12" s="132"/>
      <c r="BC12" s="132"/>
      <c r="BD12" s="132"/>
      <c r="BE12" s="132"/>
      <c r="BF12" s="132"/>
      <c r="BG12" s="132"/>
      <c r="BH12" s="132"/>
      <c r="BI12" s="132"/>
      <c r="BJ12" s="139"/>
      <c r="BK12" s="132"/>
      <c r="BL12" s="132"/>
      <c r="BM12" s="132"/>
      <c r="BN12" s="132"/>
      <c r="BO12" s="132"/>
      <c r="BP12" s="132"/>
      <c r="BQ12" s="132"/>
      <c r="BR12" s="132"/>
      <c r="BS12" s="132"/>
      <c r="BT12" s="132"/>
      <c r="BU12" s="132"/>
      <c r="BV12" s="132"/>
      <c r="BW12" s="132"/>
      <c r="BX12" s="132"/>
      <c r="BY12" s="139"/>
      <c r="BZ12" s="132"/>
      <c r="CA12" s="132"/>
      <c r="CB12" s="132"/>
      <c r="CC12" s="132"/>
      <c r="CD12" s="132"/>
      <c r="CE12" s="132"/>
      <c r="CF12" s="132"/>
      <c r="CG12" s="132"/>
      <c r="CH12" s="132"/>
      <c r="CI12" s="132"/>
      <c r="CJ12" s="139"/>
      <c r="CK12" s="132"/>
      <c r="CL12" s="132"/>
      <c r="CM12" s="132"/>
      <c r="CN12" s="132"/>
      <c r="CO12" s="132"/>
      <c r="CP12" s="132"/>
      <c r="CQ12" s="132"/>
      <c r="CR12" s="132"/>
      <c r="CS12" s="132"/>
      <c r="CT12" s="139"/>
      <c r="CU12" s="132"/>
      <c r="CV12" s="132"/>
      <c r="CW12" s="132"/>
      <c r="CX12" s="132"/>
      <c r="CY12" s="132"/>
      <c r="CZ12" s="132"/>
      <c r="DA12" s="132"/>
      <c r="DB12" s="132"/>
      <c r="DC12" s="132"/>
      <c r="DD12" s="132"/>
      <c r="DE12" s="132"/>
      <c r="DF12" s="132"/>
      <c r="DG12" s="132"/>
      <c r="DH12" s="139"/>
      <c r="DI12" s="109"/>
      <c r="DJ12" s="109"/>
      <c r="DK12" s="133"/>
      <c r="DL12" s="109"/>
      <c r="DM12" s="132"/>
      <c r="DN12" s="132"/>
      <c r="DO12" s="132"/>
      <c r="DP12" s="132"/>
      <c r="DQ12" s="132"/>
      <c r="DR12" s="132"/>
      <c r="DS12" s="132"/>
      <c r="DT12" s="132"/>
      <c r="DU12" s="132"/>
      <c r="DV12" s="139"/>
      <c r="DW12" s="132"/>
      <c r="DX12" s="132"/>
      <c r="DY12" s="109"/>
      <c r="DZ12" s="133"/>
      <c r="EA12" s="109"/>
      <c r="EB12" s="133"/>
      <c r="EC12" s="132"/>
      <c r="ED12" s="132"/>
      <c r="EE12" s="132"/>
      <c r="EF12" s="132"/>
      <c r="EG12" s="132"/>
      <c r="EH12" s="132"/>
      <c r="EI12" s="132"/>
      <c r="EJ12" s="132"/>
      <c r="EK12" s="5">
        <f t="shared" si="0"/>
        <v>17</v>
      </c>
      <c r="EL12" s="5">
        <v>2</v>
      </c>
      <c r="EM12" s="5">
        <f t="shared" si="1"/>
        <v>24</v>
      </c>
      <c r="EN12" s="153">
        <v>-2</v>
      </c>
      <c r="EO12" s="7">
        <f t="shared" si="2"/>
        <v>5</v>
      </c>
      <c r="EP12" s="40" t="str">
        <f t="shared" si="3"/>
        <v/>
      </c>
      <c r="EQ12" s="41" t="str">
        <f t="shared" si="4"/>
        <v/>
      </c>
      <c r="ET12" s="161" t="s">
        <v>26</v>
      </c>
    </row>
    <row r="13" spans="1:152" x14ac:dyDescent="0.25">
      <c r="A13" s="130" t="s">
        <v>28</v>
      </c>
      <c r="B13" s="130"/>
      <c r="C13" s="130">
        <v>7</v>
      </c>
      <c r="D13" s="177">
        <v>45678</v>
      </c>
      <c r="E13" s="175">
        <v>1</v>
      </c>
      <c r="F13" s="132">
        <v>1</v>
      </c>
      <c r="G13" s="132">
        <v>1</v>
      </c>
      <c r="H13" s="132">
        <v>1</v>
      </c>
      <c r="I13" s="132">
        <v>1</v>
      </c>
      <c r="J13" s="132">
        <v>1</v>
      </c>
      <c r="K13" s="132">
        <v>1</v>
      </c>
      <c r="L13" s="132">
        <v>1</v>
      </c>
      <c r="M13" s="132">
        <v>1</v>
      </c>
      <c r="N13" s="132">
        <v>1</v>
      </c>
      <c r="O13" s="132">
        <v>1</v>
      </c>
      <c r="P13" s="132">
        <v>1</v>
      </c>
      <c r="Q13" s="176" t="s">
        <v>37</v>
      </c>
      <c r="R13" s="175"/>
      <c r="S13" s="132">
        <v>1</v>
      </c>
      <c r="T13" s="132">
        <v>1</v>
      </c>
      <c r="U13" s="176"/>
      <c r="V13" s="175"/>
      <c r="W13" s="132"/>
      <c r="X13" s="132"/>
      <c r="Y13" s="132"/>
      <c r="Z13" s="132">
        <v>1</v>
      </c>
      <c r="AA13" s="132">
        <v>1</v>
      </c>
      <c r="AB13" s="132">
        <v>1</v>
      </c>
      <c r="AC13" s="132"/>
      <c r="AD13" s="132">
        <v>1</v>
      </c>
      <c r="AE13" s="132"/>
      <c r="AF13" s="132"/>
      <c r="AG13" s="132"/>
      <c r="AH13" s="176"/>
      <c r="AI13" s="174"/>
      <c r="AJ13" s="132"/>
      <c r="AK13" s="132"/>
      <c r="AL13" s="132"/>
      <c r="AM13" s="132"/>
      <c r="AN13" s="132"/>
      <c r="AO13" s="139"/>
      <c r="AP13" s="132"/>
      <c r="AQ13" s="132"/>
      <c r="AR13" s="132"/>
      <c r="AS13" s="132"/>
      <c r="AT13" s="132"/>
      <c r="AU13" s="132"/>
      <c r="AV13" s="132"/>
      <c r="AW13" s="132"/>
      <c r="AX13" s="132"/>
      <c r="AY13" s="139"/>
      <c r="AZ13" s="132"/>
      <c r="BA13" s="132"/>
      <c r="BB13" s="132"/>
      <c r="BC13" s="132"/>
      <c r="BD13" s="132"/>
      <c r="BE13" s="132"/>
      <c r="BF13" s="132"/>
      <c r="BG13" s="132"/>
      <c r="BH13" s="132"/>
      <c r="BI13" s="132"/>
      <c r="BJ13" s="139"/>
      <c r="BK13" s="132"/>
      <c r="BL13" s="132"/>
      <c r="BM13" s="132"/>
      <c r="BN13" s="132"/>
      <c r="BO13" s="132"/>
      <c r="BP13" s="132"/>
      <c r="BQ13" s="132"/>
      <c r="BR13" s="132"/>
      <c r="BS13" s="132"/>
      <c r="BT13" s="132"/>
      <c r="BU13" s="132"/>
      <c r="BV13" s="132"/>
      <c r="BW13" s="132"/>
      <c r="BX13" s="132"/>
      <c r="BY13" s="139"/>
      <c r="BZ13" s="132"/>
      <c r="CA13" s="132"/>
      <c r="CB13" s="132"/>
      <c r="CC13" s="132"/>
      <c r="CD13" s="132"/>
      <c r="CE13" s="132"/>
      <c r="CF13" s="132"/>
      <c r="CG13" s="132"/>
      <c r="CH13" s="132"/>
      <c r="CI13" s="132"/>
      <c r="CJ13" s="139"/>
      <c r="CK13" s="132"/>
      <c r="CL13" s="132"/>
      <c r="CM13" s="132"/>
      <c r="CN13" s="132"/>
      <c r="CO13" s="132"/>
      <c r="CP13" s="132"/>
      <c r="CQ13" s="132"/>
      <c r="CR13" s="132"/>
      <c r="CS13" s="132"/>
      <c r="CT13" s="139"/>
      <c r="CU13" s="132"/>
      <c r="CV13" s="132"/>
      <c r="CW13" s="132"/>
      <c r="CX13" s="132"/>
      <c r="CY13" s="132"/>
      <c r="CZ13" s="132"/>
      <c r="DA13" s="132"/>
      <c r="DB13" s="132"/>
      <c r="DC13" s="132"/>
      <c r="DD13" s="132"/>
      <c r="DE13" s="132"/>
      <c r="DF13" s="132"/>
      <c r="DG13" s="132"/>
      <c r="DH13" s="139"/>
      <c r="DI13" s="109"/>
      <c r="DJ13" s="109"/>
      <c r="DK13" s="133"/>
      <c r="DL13" s="109"/>
      <c r="DM13" s="132"/>
      <c r="DN13" s="132"/>
      <c r="DO13" s="132"/>
      <c r="DP13" s="132"/>
      <c r="DQ13" s="132"/>
      <c r="DR13" s="132"/>
      <c r="DS13" s="132"/>
      <c r="DT13" s="132"/>
      <c r="DU13" s="132"/>
      <c r="DV13" s="139"/>
      <c r="DW13" s="132"/>
      <c r="DX13" s="132"/>
      <c r="DY13" s="109"/>
      <c r="DZ13" s="133"/>
      <c r="EA13" s="109"/>
      <c r="EB13" s="133"/>
      <c r="EC13" s="132"/>
      <c r="ED13" s="132"/>
      <c r="EE13" s="132"/>
      <c r="EF13" s="132"/>
      <c r="EG13" s="132"/>
      <c r="EH13" s="132"/>
      <c r="EI13" s="132"/>
      <c r="EJ13" s="132"/>
      <c r="EK13" s="5">
        <f t="shared" si="0"/>
        <v>18</v>
      </c>
      <c r="EL13" s="5">
        <v>0</v>
      </c>
      <c r="EM13" s="5">
        <f t="shared" si="1"/>
        <v>0</v>
      </c>
      <c r="EN13" s="153">
        <v>-7</v>
      </c>
      <c r="EO13" s="7">
        <f t="shared" si="2"/>
        <v>-25</v>
      </c>
      <c r="EP13" s="40" t="str">
        <f t="shared" si="3"/>
        <v>NO</v>
      </c>
      <c r="EQ13" s="41" t="str">
        <f t="shared" si="4"/>
        <v>طاهر امين</v>
      </c>
      <c r="ET13" s="161" t="s">
        <v>28</v>
      </c>
    </row>
    <row r="14" spans="1:152" x14ac:dyDescent="0.25">
      <c r="A14" s="130" t="s">
        <v>31</v>
      </c>
      <c r="B14" s="130"/>
      <c r="C14" s="130">
        <v>8</v>
      </c>
      <c r="D14" s="177">
        <v>45699</v>
      </c>
      <c r="E14" s="175">
        <v>1</v>
      </c>
      <c r="F14" s="132">
        <v>1</v>
      </c>
      <c r="G14" s="132">
        <v>1</v>
      </c>
      <c r="H14" s="132">
        <v>1</v>
      </c>
      <c r="I14" s="132"/>
      <c r="J14" s="132">
        <v>1</v>
      </c>
      <c r="K14" s="132">
        <v>1</v>
      </c>
      <c r="L14" s="132">
        <v>1</v>
      </c>
      <c r="M14" s="132">
        <v>1</v>
      </c>
      <c r="N14" s="132">
        <v>1</v>
      </c>
      <c r="O14" s="132">
        <v>1</v>
      </c>
      <c r="P14" s="132">
        <v>1</v>
      </c>
      <c r="Q14" s="176" t="s">
        <v>37</v>
      </c>
      <c r="R14" s="175">
        <v>1</v>
      </c>
      <c r="S14" s="132"/>
      <c r="T14" s="132"/>
      <c r="U14" s="176"/>
      <c r="V14" s="175"/>
      <c r="W14" s="132">
        <v>1</v>
      </c>
      <c r="X14" s="132"/>
      <c r="Y14" s="132"/>
      <c r="Z14" s="132">
        <v>1</v>
      </c>
      <c r="AA14" s="132">
        <v>1</v>
      </c>
      <c r="AB14" s="132">
        <v>1</v>
      </c>
      <c r="AC14" s="132">
        <v>1</v>
      </c>
      <c r="AD14" s="132">
        <v>1</v>
      </c>
      <c r="AE14" s="132"/>
      <c r="AF14" s="132">
        <v>1</v>
      </c>
      <c r="AG14" s="132">
        <v>1</v>
      </c>
      <c r="AH14" s="176"/>
      <c r="AI14" s="174"/>
      <c r="AJ14" s="132"/>
      <c r="AK14" s="132"/>
      <c r="AL14" s="132"/>
      <c r="AM14" s="132"/>
      <c r="AN14" s="132"/>
      <c r="AO14" s="139"/>
      <c r="AP14" s="132"/>
      <c r="AQ14" s="132"/>
      <c r="AR14" s="132"/>
      <c r="AS14" s="132"/>
      <c r="AT14" s="132"/>
      <c r="AU14" s="132"/>
      <c r="AV14" s="132"/>
      <c r="AW14" s="132"/>
      <c r="AX14" s="132"/>
      <c r="AY14" s="139"/>
      <c r="AZ14" s="132"/>
      <c r="BA14" s="132"/>
      <c r="BB14" s="132"/>
      <c r="BC14" s="132"/>
      <c r="BD14" s="132"/>
      <c r="BE14" s="132"/>
      <c r="BF14" s="132"/>
      <c r="BG14" s="132"/>
      <c r="BH14" s="132"/>
      <c r="BI14" s="132"/>
      <c r="BJ14" s="139"/>
      <c r="BK14" s="132"/>
      <c r="BL14" s="132"/>
      <c r="BM14" s="132"/>
      <c r="BN14" s="132"/>
      <c r="BO14" s="132"/>
      <c r="BP14" s="132"/>
      <c r="BQ14" s="132"/>
      <c r="BR14" s="132"/>
      <c r="BS14" s="132"/>
      <c r="BT14" s="132"/>
      <c r="BU14" s="132"/>
      <c r="BV14" s="132"/>
      <c r="BW14" s="132"/>
      <c r="BX14" s="132"/>
      <c r="BY14" s="139"/>
      <c r="BZ14" s="132"/>
      <c r="CA14" s="132"/>
      <c r="CB14" s="132"/>
      <c r="CC14" s="132"/>
      <c r="CD14" s="132"/>
      <c r="CE14" s="132"/>
      <c r="CF14" s="132"/>
      <c r="CG14" s="132"/>
      <c r="CH14" s="132"/>
      <c r="CI14" s="132"/>
      <c r="CJ14" s="139"/>
      <c r="CK14" s="132"/>
      <c r="CL14" s="132"/>
      <c r="CM14" s="132"/>
      <c r="CN14" s="132"/>
      <c r="CO14" s="132"/>
      <c r="CP14" s="132"/>
      <c r="CQ14" s="132"/>
      <c r="CR14" s="132"/>
      <c r="CS14" s="132"/>
      <c r="CT14" s="139"/>
      <c r="CU14" s="132"/>
      <c r="CV14" s="132"/>
      <c r="CW14" s="132"/>
      <c r="CX14" s="132"/>
      <c r="CY14" s="132"/>
      <c r="CZ14" s="132"/>
      <c r="DA14" s="132"/>
      <c r="DB14" s="132"/>
      <c r="DC14" s="132"/>
      <c r="DD14" s="132"/>
      <c r="DE14" s="132"/>
      <c r="DF14" s="132"/>
      <c r="DG14" s="132"/>
      <c r="DH14" s="139"/>
      <c r="DI14" s="109"/>
      <c r="DJ14" s="109"/>
      <c r="DK14" s="133"/>
      <c r="DL14" s="109"/>
      <c r="DM14" s="132"/>
      <c r="DN14" s="132"/>
      <c r="DO14" s="132"/>
      <c r="DP14" s="132"/>
      <c r="DQ14" s="132"/>
      <c r="DR14" s="132"/>
      <c r="DS14" s="132"/>
      <c r="DT14" s="132"/>
      <c r="DU14" s="149"/>
      <c r="DV14" s="139"/>
      <c r="DW14" s="132"/>
      <c r="DX14" s="132"/>
      <c r="DY14" s="109"/>
      <c r="DZ14" s="133"/>
      <c r="EA14" s="109"/>
      <c r="EB14" s="133"/>
      <c r="EC14" s="132"/>
      <c r="ED14" s="132"/>
      <c r="EE14" s="132"/>
      <c r="EF14" s="132"/>
      <c r="EG14" s="132"/>
      <c r="EH14" s="132"/>
      <c r="EI14" s="132"/>
      <c r="EJ14" s="132"/>
      <c r="EK14" s="5">
        <f t="shared" si="0"/>
        <v>20</v>
      </c>
      <c r="EL14" s="5">
        <v>2</v>
      </c>
      <c r="EM14" s="5">
        <f t="shared" si="1"/>
        <v>24</v>
      </c>
      <c r="EN14" s="153">
        <v>0</v>
      </c>
      <c r="EO14" s="7">
        <f t="shared" si="2"/>
        <v>4</v>
      </c>
      <c r="EP14" s="40" t="str">
        <f t="shared" si="3"/>
        <v/>
      </c>
      <c r="EQ14" s="41" t="str">
        <f t="shared" si="4"/>
        <v/>
      </c>
      <c r="ET14" s="161" t="s">
        <v>31</v>
      </c>
    </row>
    <row r="15" spans="1:152" x14ac:dyDescent="0.25">
      <c r="A15" s="130" t="s">
        <v>32</v>
      </c>
      <c r="B15" s="130"/>
      <c r="C15" s="130">
        <v>9</v>
      </c>
      <c r="D15" s="177">
        <v>45684</v>
      </c>
      <c r="E15" s="175">
        <v>0</v>
      </c>
      <c r="F15" s="132">
        <v>1</v>
      </c>
      <c r="G15" s="132">
        <v>1</v>
      </c>
      <c r="H15" s="132">
        <v>1</v>
      </c>
      <c r="I15" s="132">
        <v>1</v>
      </c>
      <c r="J15" s="132">
        <v>1</v>
      </c>
      <c r="K15" s="132">
        <v>1</v>
      </c>
      <c r="L15" s="132">
        <v>1</v>
      </c>
      <c r="M15" s="132">
        <v>1</v>
      </c>
      <c r="N15" s="132"/>
      <c r="O15" s="132">
        <v>1</v>
      </c>
      <c r="P15" s="132">
        <v>1</v>
      </c>
      <c r="Q15" s="176" t="s">
        <v>37</v>
      </c>
      <c r="R15" s="175">
        <v>1</v>
      </c>
      <c r="S15" s="132">
        <v>1</v>
      </c>
      <c r="T15" s="132">
        <v>1</v>
      </c>
      <c r="U15" s="176"/>
      <c r="V15" s="175"/>
      <c r="W15" s="132">
        <v>1</v>
      </c>
      <c r="X15" s="132"/>
      <c r="Y15" s="132">
        <v>1</v>
      </c>
      <c r="Z15" s="132"/>
      <c r="AA15" s="132">
        <v>1</v>
      </c>
      <c r="AB15" s="132">
        <v>1</v>
      </c>
      <c r="AC15" s="132">
        <v>1</v>
      </c>
      <c r="AD15" s="132">
        <v>1</v>
      </c>
      <c r="AE15" s="132">
        <v>1</v>
      </c>
      <c r="AF15" s="132">
        <v>1</v>
      </c>
      <c r="AG15" s="132">
        <v>1</v>
      </c>
      <c r="AH15" s="176"/>
      <c r="AI15" s="174"/>
      <c r="AJ15" s="132"/>
      <c r="AK15" s="132"/>
      <c r="AL15" s="132"/>
      <c r="AM15" s="132"/>
      <c r="AN15" s="132"/>
      <c r="AO15" s="139"/>
      <c r="AP15" s="132"/>
      <c r="AQ15" s="132"/>
      <c r="AR15" s="132"/>
      <c r="AS15" s="132"/>
      <c r="AT15" s="132"/>
      <c r="AU15" s="132"/>
      <c r="AV15" s="132"/>
      <c r="AW15" s="132"/>
      <c r="AX15" s="132"/>
      <c r="AY15" s="139"/>
      <c r="AZ15" s="132"/>
      <c r="BA15" s="132"/>
      <c r="BB15" s="132"/>
      <c r="BC15" s="132"/>
      <c r="BD15" s="132"/>
      <c r="BE15" s="132"/>
      <c r="BF15" s="132"/>
      <c r="BG15" s="132"/>
      <c r="BH15" s="132"/>
      <c r="BI15" s="132"/>
      <c r="BJ15" s="139"/>
      <c r="BK15" s="132"/>
      <c r="BL15" s="132"/>
      <c r="BM15" s="132"/>
      <c r="BN15" s="132"/>
      <c r="BO15" s="132"/>
      <c r="BP15" s="132"/>
      <c r="BQ15" s="132"/>
      <c r="BR15" s="132"/>
      <c r="BS15" s="132"/>
      <c r="BT15" s="132"/>
      <c r="BU15" s="132"/>
      <c r="BV15" s="132"/>
      <c r="BW15" s="132"/>
      <c r="BX15" s="132"/>
      <c r="BY15" s="139"/>
      <c r="BZ15" s="132"/>
      <c r="CA15" s="132"/>
      <c r="CB15" s="132"/>
      <c r="CC15" s="132"/>
      <c r="CD15" s="132"/>
      <c r="CE15" s="132"/>
      <c r="CF15" s="132"/>
      <c r="CG15" s="132"/>
      <c r="CH15" s="132"/>
      <c r="CI15" s="132"/>
      <c r="CJ15" s="139"/>
      <c r="CK15" s="132"/>
      <c r="CL15" s="132"/>
      <c r="CM15" s="132"/>
      <c r="CN15" s="132"/>
      <c r="CO15" s="132"/>
      <c r="CP15" s="132"/>
      <c r="CQ15" s="132"/>
      <c r="CR15" s="132"/>
      <c r="CS15" s="132"/>
      <c r="CT15" s="139"/>
      <c r="CU15" s="132"/>
      <c r="CV15" s="132"/>
      <c r="CW15" s="132"/>
      <c r="CX15" s="132"/>
      <c r="CY15" s="132"/>
      <c r="CZ15" s="132"/>
      <c r="DA15" s="132"/>
      <c r="DB15" s="132"/>
      <c r="DC15" s="132"/>
      <c r="DD15" s="132"/>
      <c r="DE15" s="132"/>
      <c r="DF15" s="132"/>
      <c r="DG15" s="132"/>
      <c r="DH15" s="139"/>
      <c r="DI15" s="109"/>
      <c r="DJ15" s="109"/>
      <c r="DK15" s="133"/>
      <c r="DL15" s="109"/>
      <c r="DM15" s="132"/>
      <c r="DN15" s="132"/>
      <c r="DO15" s="132"/>
      <c r="DP15" s="132"/>
      <c r="DQ15" s="132"/>
      <c r="DR15" s="132"/>
      <c r="DS15" s="132"/>
      <c r="DT15" s="132"/>
      <c r="DU15" s="149"/>
      <c r="DV15" s="139"/>
      <c r="DW15" s="132"/>
      <c r="DX15" s="132"/>
      <c r="DY15" s="109"/>
      <c r="DZ15" s="133"/>
      <c r="EA15" s="109"/>
      <c r="EB15" s="133"/>
      <c r="EC15" s="132"/>
      <c r="ED15" s="132"/>
      <c r="EE15" s="132"/>
      <c r="EF15" s="132"/>
      <c r="EG15" s="132"/>
      <c r="EH15" s="132"/>
      <c r="EI15" s="132"/>
      <c r="EJ15" s="132"/>
      <c r="EK15" s="5">
        <f t="shared" si="0"/>
        <v>22</v>
      </c>
      <c r="EL15" s="5">
        <v>2</v>
      </c>
      <c r="EM15" s="5">
        <f t="shared" si="1"/>
        <v>24</v>
      </c>
      <c r="EN15" s="153">
        <v>0</v>
      </c>
      <c r="EO15" s="7">
        <f t="shared" si="2"/>
        <v>2</v>
      </c>
      <c r="EP15" s="40" t="str">
        <f t="shared" si="3"/>
        <v/>
      </c>
      <c r="EQ15" s="41" t="str">
        <f t="shared" si="4"/>
        <v/>
      </c>
      <c r="ET15" s="161" t="s">
        <v>32</v>
      </c>
    </row>
    <row r="16" spans="1:152" x14ac:dyDescent="0.25">
      <c r="A16" s="130" t="s">
        <v>36</v>
      </c>
      <c r="B16" s="130"/>
      <c r="C16" s="130">
        <v>10</v>
      </c>
      <c r="D16" s="177">
        <v>45706</v>
      </c>
      <c r="E16" s="175">
        <v>0</v>
      </c>
      <c r="F16" s="132">
        <v>1</v>
      </c>
      <c r="G16" s="132">
        <v>1</v>
      </c>
      <c r="H16" s="132">
        <v>1</v>
      </c>
      <c r="I16" s="132">
        <v>1</v>
      </c>
      <c r="J16" s="132">
        <v>1</v>
      </c>
      <c r="K16" s="132"/>
      <c r="L16" s="132">
        <v>1</v>
      </c>
      <c r="M16" s="132">
        <v>1</v>
      </c>
      <c r="N16" s="132">
        <v>1</v>
      </c>
      <c r="O16" s="132"/>
      <c r="P16" s="132">
        <v>1</v>
      </c>
      <c r="Q16" s="176" t="s">
        <v>37</v>
      </c>
      <c r="R16" s="175"/>
      <c r="S16" s="132"/>
      <c r="T16" s="132"/>
      <c r="U16" s="176"/>
      <c r="V16" s="175"/>
      <c r="W16" s="132">
        <v>1</v>
      </c>
      <c r="X16" s="132">
        <v>1</v>
      </c>
      <c r="Y16" s="132">
        <v>1</v>
      </c>
      <c r="Z16" s="132">
        <v>1</v>
      </c>
      <c r="AA16" s="132">
        <v>1</v>
      </c>
      <c r="AB16" s="132"/>
      <c r="AC16" s="132">
        <v>1</v>
      </c>
      <c r="AD16" s="132">
        <v>1</v>
      </c>
      <c r="AE16" s="132"/>
      <c r="AF16" s="132">
        <v>1</v>
      </c>
      <c r="AG16" s="132">
        <v>1</v>
      </c>
      <c r="AH16" s="176"/>
      <c r="AI16" s="174"/>
      <c r="AJ16" s="132"/>
      <c r="AK16" s="132"/>
      <c r="AL16" s="132"/>
      <c r="AM16" s="132"/>
      <c r="AN16" s="132"/>
      <c r="AO16" s="139"/>
      <c r="AP16" s="132"/>
      <c r="AQ16" s="132"/>
      <c r="AR16" s="132"/>
      <c r="AS16" s="132"/>
      <c r="AT16" s="132"/>
      <c r="AU16" s="132"/>
      <c r="AV16" s="132"/>
      <c r="AW16" s="132"/>
      <c r="AX16" s="132"/>
      <c r="AY16" s="139"/>
      <c r="AZ16" s="132"/>
      <c r="BA16" s="132"/>
      <c r="BB16" s="132"/>
      <c r="BC16" s="132"/>
      <c r="BD16" s="132"/>
      <c r="BE16" s="132"/>
      <c r="BF16" s="132"/>
      <c r="BG16" s="132"/>
      <c r="BH16" s="132"/>
      <c r="BI16" s="132"/>
      <c r="BJ16" s="139"/>
      <c r="BK16" s="132"/>
      <c r="BL16" s="132"/>
      <c r="BM16" s="132"/>
      <c r="BN16" s="132"/>
      <c r="BO16" s="132"/>
      <c r="BP16" s="132"/>
      <c r="BQ16" s="132"/>
      <c r="BR16" s="132"/>
      <c r="BS16" s="132"/>
      <c r="BT16" s="132"/>
      <c r="BU16" s="132"/>
      <c r="BV16" s="132"/>
      <c r="BW16" s="132"/>
      <c r="BX16" s="132"/>
      <c r="BY16" s="139"/>
      <c r="BZ16" s="132"/>
      <c r="CA16" s="132"/>
      <c r="CB16" s="132"/>
      <c r="CC16" s="132"/>
      <c r="CD16" s="132"/>
      <c r="CE16" s="132"/>
      <c r="CF16" s="132"/>
      <c r="CG16" s="132"/>
      <c r="CH16" s="132"/>
      <c r="CI16" s="132"/>
      <c r="CJ16" s="139"/>
      <c r="CK16" s="132"/>
      <c r="CL16" s="132"/>
      <c r="CM16" s="132"/>
      <c r="CN16" s="132"/>
      <c r="CO16" s="132"/>
      <c r="CP16" s="132"/>
      <c r="CQ16" s="132"/>
      <c r="CR16" s="132"/>
      <c r="CS16" s="132"/>
      <c r="CT16" s="139"/>
      <c r="CU16" s="132"/>
      <c r="CV16" s="132"/>
      <c r="CW16" s="132"/>
      <c r="CX16" s="132"/>
      <c r="CY16" s="132"/>
      <c r="CZ16" s="132"/>
      <c r="DA16" s="132"/>
      <c r="DB16" s="132"/>
      <c r="DC16" s="132"/>
      <c r="DD16" s="132"/>
      <c r="DE16" s="132"/>
      <c r="DF16" s="132"/>
      <c r="DG16" s="132"/>
      <c r="DH16" s="139"/>
      <c r="DI16" s="109"/>
      <c r="DJ16" s="109"/>
      <c r="DK16" s="133"/>
      <c r="DL16" s="109"/>
      <c r="DM16" s="132"/>
      <c r="DN16" s="132"/>
      <c r="DO16" s="132"/>
      <c r="DP16" s="132"/>
      <c r="DQ16" s="132"/>
      <c r="DR16" s="132"/>
      <c r="DS16" s="132"/>
      <c r="DT16" s="132"/>
      <c r="DU16" s="149"/>
      <c r="DV16" s="139"/>
      <c r="DW16" s="132"/>
      <c r="DX16" s="132"/>
      <c r="DY16" s="109"/>
      <c r="DZ16" s="133"/>
      <c r="EA16" s="109"/>
      <c r="EB16" s="133"/>
      <c r="EC16" s="132"/>
      <c r="ED16" s="132"/>
      <c r="EE16" s="132"/>
      <c r="EF16" s="132"/>
      <c r="EG16" s="132"/>
      <c r="EH16" s="132"/>
      <c r="EI16" s="132"/>
      <c r="EJ16" s="132"/>
      <c r="EK16" s="5">
        <f t="shared" si="0"/>
        <v>18</v>
      </c>
      <c r="EL16" s="5">
        <v>2</v>
      </c>
      <c r="EM16" s="5">
        <f t="shared" si="1"/>
        <v>24</v>
      </c>
      <c r="EN16" s="153">
        <v>-1</v>
      </c>
      <c r="EO16" s="7">
        <f t="shared" si="2"/>
        <v>5</v>
      </c>
      <c r="EP16" s="40" t="str">
        <f t="shared" si="3"/>
        <v/>
      </c>
      <c r="EQ16" s="41" t="str">
        <f t="shared" si="4"/>
        <v/>
      </c>
      <c r="ET16" s="161" t="s">
        <v>36</v>
      </c>
    </row>
    <row r="17" spans="1:150" x14ac:dyDescent="0.25">
      <c r="A17" s="130" t="s">
        <v>35</v>
      </c>
      <c r="B17" s="130"/>
      <c r="C17" s="130">
        <v>11</v>
      </c>
      <c r="D17" s="177">
        <v>45706</v>
      </c>
      <c r="E17" s="175">
        <v>0</v>
      </c>
      <c r="F17" s="132">
        <v>1</v>
      </c>
      <c r="G17" s="132">
        <v>1</v>
      </c>
      <c r="H17" s="132">
        <v>1</v>
      </c>
      <c r="I17" s="132">
        <v>1</v>
      </c>
      <c r="J17" s="132">
        <v>1</v>
      </c>
      <c r="K17" s="132">
        <v>1</v>
      </c>
      <c r="L17" s="132"/>
      <c r="M17" s="132">
        <v>1</v>
      </c>
      <c r="N17" s="132">
        <v>1</v>
      </c>
      <c r="O17" s="132">
        <v>1</v>
      </c>
      <c r="P17" s="132">
        <v>1</v>
      </c>
      <c r="Q17" s="176" t="s">
        <v>37</v>
      </c>
      <c r="R17" s="175"/>
      <c r="S17" s="132"/>
      <c r="T17" s="132"/>
      <c r="U17" s="176"/>
      <c r="V17" s="175"/>
      <c r="W17" s="132"/>
      <c r="X17" s="132">
        <v>1</v>
      </c>
      <c r="Y17" s="132">
        <v>1</v>
      </c>
      <c r="Z17" s="132"/>
      <c r="AA17" s="132"/>
      <c r="AB17" s="132"/>
      <c r="AC17" s="132">
        <v>1</v>
      </c>
      <c r="AD17" s="132">
        <v>1</v>
      </c>
      <c r="AE17" s="132"/>
      <c r="AF17" s="132">
        <v>1</v>
      </c>
      <c r="AG17" s="132">
        <v>1</v>
      </c>
      <c r="AH17" s="176"/>
      <c r="AI17" s="174"/>
      <c r="AJ17" s="132"/>
      <c r="AK17" s="132"/>
      <c r="AL17" s="132"/>
      <c r="AM17" s="132"/>
      <c r="AN17" s="132"/>
      <c r="AO17" s="139"/>
      <c r="AP17" s="132"/>
      <c r="AQ17" s="132"/>
      <c r="AR17" s="132"/>
      <c r="AS17" s="132"/>
      <c r="AT17" s="132"/>
      <c r="AU17" s="132"/>
      <c r="AV17" s="132"/>
      <c r="AW17" s="132"/>
      <c r="AX17" s="132"/>
      <c r="AY17" s="139"/>
      <c r="AZ17" s="132"/>
      <c r="BA17" s="132"/>
      <c r="BB17" s="132"/>
      <c r="BC17" s="132"/>
      <c r="BD17" s="132"/>
      <c r="BE17" s="132"/>
      <c r="BF17" s="132"/>
      <c r="BG17" s="132"/>
      <c r="BH17" s="132"/>
      <c r="BI17" s="132"/>
      <c r="BJ17" s="139"/>
      <c r="BK17" s="132"/>
      <c r="BL17" s="132"/>
      <c r="BM17" s="132"/>
      <c r="BN17" s="132"/>
      <c r="BO17" s="132"/>
      <c r="BP17" s="132"/>
      <c r="BQ17" s="132"/>
      <c r="BR17" s="132"/>
      <c r="BS17" s="132"/>
      <c r="BT17" s="132"/>
      <c r="BU17" s="132"/>
      <c r="BV17" s="132"/>
      <c r="BW17" s="132"/>
      <c r="BX17" s="132"/>
      <c r="BY17" s="139"/>
      <c r="BZ17" s="132"/>
      <c r="CA17" s="132"/>
      <c r="CB17" s="132"/>
      <c r="CC17" s="132"/>
      <c r="CD17" s="132"/>
      <c r="CE17" s="132"/>
      <c r="CF17" s="132"/>
      <c r="CG17" s="132"/>
      <c r="CH17" s="132"/>
      <c r="CI17" s="132"/>
      <c r="CJ17" s="139"/>
      <c r="CK17" s="132"/>
      <c r="CL17" s="132"/>
      <c r="CM17" s="132"/>
      <c r="CN17" s="132"/>
      <c r="CO17" s="132"/>
      <c r="CP17" s="132"/>
      <c r="CQ17" s="132"/>
      <c r="CR17" s="132"/>
      <c r="CS17" s="132"/>
      <c r="CT17" s="139"/>
      <c r="CU17" s="132"/>
      <c r="CV17" s="132"/>
      <c r="CW17" s="132"/>
      <c r="CX17" s="132"/>
      <c r="CY17" s="132"/>
      <c r="CZ17" s="132"/>
      <c r="DA17" s="132"/>
      <c r="DB17" s="132"/>
      <c r="DC17" s="132"/>
      <c r="DD17" s="132"/>
      <c r="DE17" s="132"/>
      <c r="DF17" s="132"/>
      <c r="DG17" s="132"/>
      <c r="DH17" s="139"/>
      <c r="DI17" s="109"/>
      <c r="DJ17" s="109"/>
      <c r="DK17" s="133"/>
      <c r="DL17" s="109"/>
      <c r="DM17" s="132"/>
      <c r="DN17" s="132"/>
      <c r="DO17" s="132"/>
      <c r="DP17" s="132"/>
      <c r="DQ17" s="132"/>
      <c r="DR17" s="132"/>
      <c r="DS17" s="132"/>
      <c r="DT17" s="132"/>
      <c r="DU17" s="149"/>
      <c r="DV17" s="139"/>
      <c r="DW17" s="132"/>
      <c r="DX17" s="132"/>
      <c r="DY17" s="109"/>
      <c r="DZ17" s="133"/>
      <c r="EA17" s="109"/>
      <c r="EB17" s="133"/>
      <c r="EC17" s="132"/>
      <c r="ED17" s="132"/>
      <c r="EE17" s="132"/>
      <c r="EF17" s="132"/>
      <c r="EG17" s="132"/>
      <c r="EH17" s="132"/>
      <c r="EI17" s="132"/>
      <c r="EJ17" s="132"/>
      <c r="EK17" s="5">
        <f t="shared" si="0"/>
        <v>16</v>
      </c>
      <c r="EL17" s="5">
        <v>0</v>
      </c>
      <c r="EM17" s="5">
        <f t="shared" si="1"/>
        <v>0</v>
      </c>
      <c r="EN17" s="153">
        <v>15</v>
      </c>
      <c r="EO17" s="7">
        <f t="shared" si="2"/>
        <v>-1</v>
      </c>
      <c r="EP17" s="40" t="str">
        <f t="shared" si="3"/>
        <v>NO</v>
      </c>
      <c r="EQ17" s="41" t="str">
        <f t="shared" si="4"/>
        <v>خرف الله حذيفة</v>
      </c>
      <c r="ET17" s="161" t="s">
        <v>35</v>
      </c>
    </row>
    <row r="18" spans="1:150" x14ac:dyDescent="0.25">
      <c r="A18" s="129" t="s">
        <v>109</v>
      </c>
      <c r="B18" s="129"/>
      <c r="C18" s="130">
        <v>12</v>
      </c>
      <c r="D18" s="177">
        <v>45726</v>
      </c>
      <c r="E18" s="175">
        <v>0</v>
      </c>
      <c r="F18" s="132">
        <v>1</v>
      </c>
      <c r="G18" s="132">
        <v>1</v>
      </c>
      <c r="H18" s="132"/>
      <c r="I18" s="132">
        <v>1</v>
      </c>
      <c r="J18" s="132">
        <v>1</v>
      </c>
      <c r="K18" s="132"/>
      <c r="L18" s="132">
        <v>1</v>
      </c>
      <c r="M18" s="132">
        <v>1</v>
      </c>
      <c r="N18" s="132"/>
      <c r="O18" s="132">
        <v>1</v>
      </c>
      <c r="P18" s="132"/>
      <c r="Q18" s="176" t="s">
        <v>37</v>
      </c>
      <c r="R18" s="175">
        <v>1</v>
      </c>
      <c r="S18" s="132">
        <v>1</v>
      </c>
      <c r="T18" s="132"/>
      <c r="U18" s="176">
        <v>1</v>
      </c>
      <c r="V18" s="175">
        <v>1</v>
      </c>
      <c r="W18" s="132">
        <v>1</v>
      </c>
      <c r="X18" s="132"/>
      <c r="Y18" s="132"/>
      <c r="Z18" s="132">
        <v>1</v>
      </c>
      <c r="AA18" s="132"/>
      <c r="AB18" s="132"/>
      <c r="AC18" s="132">
        <v>1</v>
      </c>
      <c r="AD18" s="132"/>
      <c r="AE18" s="132"/>
      <c r="AF18" s="132"/>
      <c r="AG18" s="132"/>
      <c r="AH18" s="176"/>
      <c r="AI18" s="174"/>
      <c r="AJ18" s="132"/>
      <c r="AK18" s="132"/>
      <c r="AL18" s="132"/>
      <c r="AM18" s="132"/>
      <c r="AN18" s="132"/>
      <c r="AO18" s="139"/>
      <c r="AP18" s="132"/>
      <c r="AQ18" s="132"/>
      <c r="AR18" s="132"/>
      <c r="AS18" s="132"/>
      <c r="AT18" s="132"/>
      <c r="AU18" s="132"/>
      <c r="AV18" s="132"/>
      <c r="AW18" s="132"/>
      <c r="AX18" s="132"/>
      <c r="AY18" s="139"/>
      <c r="AZ18" s="132"/>
      <c r="BA18" s="132"/>
      <c r="BB18" s="132"/>
      <c r="BC18" s="132"/>
      <c r="BD18" s="132"/>
      <c r="BE18" s="132"/>
      <c r="BF18" s="132"/>
      <c r="BG18" s="132"/>
      <c r="BH18" s="132"/>
      <c r="BI18" s="132"/>
      <c r="BJ18" s="139"/>
      <c r="BK18" s="132"/>
      <c r="BL18" s="132"/>
      <c r="BM18" s="132"/>
      <c r="BN18" s="132"/>
      <c r="BO18" s="132"/>
      <c r="BP18" s="132"/>
      <c r="BQ18" s="132"/>
      <c r="BR18" s="132"/>
      <c r="BS18" s="132"/>
      <c r="BT18" s="132"/>
      <c r="BU18" s="132"/>
      <c r="BV18" s="132"/>
      <c r="BW18" s="132"/>
      <c r="BX18" s="132"/>
      <c r="BY18" s="139"/>
      <c r="BZ18" s="132"/>
      <c r="CA18" s="132"/>
      <c r="CB18" s="132"/>
      <c r="CC18" s="132"/>
      <c r="CD18" s="132"/>
      <c r="CE18" s="132"/>
      <c r="CF18" s="132"/>
      <c r="CG18" s="132"/>
      <c r="CH18" s="132"/>
      <c r="CI18" s="132"/>
      <c r="CJ18" s="139"/>
      <c r="CK18" s="132"/>
      <c r="CL18" s="132"/>
      <c r="CM18" s="132"/>
      <c r="CN18" s="132"/>
      <c r="CO18" s="132"/>
      <c r="CP18" s="132"/>
      <c r="CQ18" s="132"/>
      <c r="CR18" s="132"/>
      <c r="CS18" s="132"/>
      <c r="CT18" s="139"/>
      <c r="CU18" s="132"/>
      <c r="CV18" s="132"/>
      <c r="CW18" s="132"/>
      <c r="CX18" s="132"/>
      <c r="CY18" s="132"/>
      <c r="CZ18" s="132"/>
      <c r="DA18" s="132"/>
      <c r="DB18" s="132"/>
      <c r="DC18" s="132"/>
      <c r="DD18" s="132"/>
      <c r="DE18" s="132"/>
      <c r="DF18" s="132"/>
      <c r="DG18" s="132"/>
      <c r="DH18" s="139"/>
      <c r="DI18" s="109"/>
      <c r="DJ18" s="109"/>
      <c r="DK18" s="133"/>
      <c r="DL18" s="109"/>
      <c r="DM18" s="132"/>
      <c r="DN18" s="132"/>
      <c r="DO18" s="132"/>
      <c r="DP18" s="132"/>
      <c r="DQ18" s="132"/>
      <c r="DR18" s="132"/>
      <c r="DS18" s="132"/>
      <c r="DT18" s="132"/>
      <c r="DU18" s="132"/>
      <c r="DV18" s="139"/>
      <c r="DW18" s="132"/>
      <c r="DX18" s="132"/>
      <c r="DY18" s="109"/>
      <c r="DZ18" s="133"/>
      <c r="EA18" s="109"/>
      <c r="EB18" s="133"/>
      <c r="EC18" s="132"/>
      <c r="ED18" s="132"/>
      <c r="EE18" s="132"/>
      <c r="EF18" s="132"/>
      <c r="EG18" s="132"/>
      <c r="EH18" s="132"/>
      <c r="EI18" s="132"/>
      <c r="EJ18" s="132"/>
      <c r="EK18" s="5">
        <f t="shared" si="0"/>
        <v>14</v>
      </c>
      <c r="EL18" s="5">
        <v>2</v>
      </c>
      <c r="EM18" s="5">
        <f t="shared" si="1"/>
        <v>24</v>
      </c>
      <c r="EN18" s="153">
        <v>-1</v>
      </c>
      <c r="EO18" s="7">
        <f t="shared" si="2"/>
        <v>9</v>
      </c>
      <c r="EP18" s="40" t="str">
        <f t="shared" si="3"/>
        <v/>
      </c>
      <c r="EQ18" s="41" t="str">
        <f t="shared" si="4"/>
        <v/>
      </c>
      <c r="ET18" s="162" t="s">
        <v>109</v>
      </c>
    </row>
    <row r="19" spans="1:150" x14ac:dyDescent="0.25">
      <c r="A19" s="129" t="s">
        <v>110</v>
      </c>
      <c r="B19" s="129"/>
      <c r="C19" s="130">
        <v>13</v>
      </c>
      <c r="D19" s="177">
        <v>45726</v>
      </c>
      <c r="E19" s="175">
        <v>0</v>
      </c>
      <c r="F19" s="132">
        <v>1</v>
      </c>
      <c r="G19" s="132">
        <v>1</v>
      </c>
      <c r="H19" s="132"/>
      <c r="I19" s="132">
        <v>1</v>
      </c>
      <c r="J19" s="132">
        <v>1</v>
      </c>
      <c r="K19" s="132"/>
      <c r="L19" s="132">
        <v>1</v>
      </c>
      <c r="M19" s="132">
        <v>1</v>
      </c>
      <c r="N19" s="132"/>
      <c r="O19" s="132">
        <v>1</v>
      </c>
      <c r="P19" s="132"/>
      <c r="Q19" s="176" t="s">
        <v>37</v>
      </c>
      <c r="R19" s="175">
        <v>1</v>
      </c>
      <c r="S19" s="132">
        <v>1</v>
      </c>
      <c r="T19" s="132"/>
      <c r="U19" s="176"/>
      <c r="V19" s="175">
        <v>1</v>
      </c>
      <c r="W19" s="132">
        <v>1</v>
      </c>
      <c r="X19" s="132">
        <v>1</v>
      </c>
      <c r="Y19" s="132"/>
      <c r="Z19" s="132">
        <v>1</v>
      </c>
      <c r="AA19" s="132"/>
      <c r="AB19" s="132"/>
      <c r="AC19" s="132">
        <v>1</v>
      </c>
      <c r="AD19" s="132"/>
      <c r="AE19" s="132"/>
      <c r="AF19" s="132"/>
      <c r="AG19" s="132"/>
      <c r="AH19" s="176"/>
      <c r="AI19" s="174"/>
      <c r="AJ19" s="132"/>
      <c r="AK19" s="132"/>
      <c r="AL19" s="132"/>
      <c r="AM19" s="132"/>
      <c r="AN19" s="132"/>
      <c r="AO19" s="139"/>
      <c r="AP19" s="132"/>
      <c r="AQ19" s="132"/>
      <c r="AR19" s="132"/>
      <c r="AS19" s="132"/>
      <c r="AT19" s="132"/>
      <c r="AU19" s="132"/>
      <c r="AV19" s="132"/>
      <c r="AW19" s="132"/>
      <c r="AX19" s="132"/>
      <c r="AY19" s="139"/>
      <c r="AZ19" s="132"/>
      <c r="BA19" s="132"/>
      <c r="BB19" s="132"/>
      <c r="BC19" s="132"/>
      <c r="BD19" s="132"/>
      <c r="BE19" s="132"/>
      <c r="BF19" s="132"/>
      <c r="BG19" s="132"/>
      <c r="BH19" s="132"/>
      <c r="BI19" s="132"/>
      <c r="BJ19" s="139"/>
      <c r="BK19" s="132"/>
      <c r="BL19" s="132"/>
      <c r="BM19" s="132"/>
      <c r="BN19" s="132"/>
      <c r="BO19" s="132"/>
      <c r="BP19" s="132"/>
      <c r="BQ19" s="132"/>
      <c r="BR19" s="132"/>
      <c r="BS19" s="132"/>
      <c r="BT19" s="132"/>
      <c r="BU19" s="132"/>
      <c r="BV19" s="132"/>
      <c r="BW19" s="132"/>
      <c r="BX19" s="132"/>
      <c r="BY19" s="139"/>
      <c r="BZ19" s="132"/>
      <c r="CA19" s="132"/>
      <c r="CB19" s="132"/>
      <c r="CC19" s="132"/>
      <c r="CD19" s="132"/>
      <c r="CE19" s="132"/>
      <c r="CF19" s="132"/>
      <c r="CG19" s="132"/>
      <c r="CH19" s="132"/>
      <c r="CI19" s="132"/>
      <c r="CJ19" s="139"/>
      <c r="CK19" s="132"/>
      <c r="CL19" s="132"/>
      <c r="CM19" s="132"/>
      <c r="CN19" s="132"/>
      <c r="CO19" s="132"/>
      <c r="CP19" s="132"/>
      <c r="CQ19" s="132"/>
      <c r="CR19" s="132"/>
      <c r="CS19" s="132"/>
      <c r="CT19" s="139"/>
      <c r="CU19" s="132"/>
      <c r="CV19" s="132"/>
      <c r="CW19" s="132"/>
      <c r="CX19" s="132"/>
      <c r="CY19" s="132"/>
      <c r="CZ19" s="132"/>
      <c r="DA19" s="132"/>
      <c r="DB19" s="132"/>
      <c r="DC19" s="132"/>
      <c r="DD19" s="132"/>
      <c r="DE19" s="132"/>
      <c r="DF19" s="132"/>
      <c r="DG19" s="132"/>
      <c r="DH19" s="139"/>
      <c r="DI19" s="109"/>
      <c r="DJ19" s="109"/>
      <c r="DK19" s="133"/>
      <c r="DL19" s="109"/>
      <c r="DM19" s="132"/>
      <c r="DN19" s="132"/>
      <c r="DO19" s="132"/>
      <c r="DP19" s="132"/>
      <c r="DQ19" s="132"/>
      <c r="DR19" s="132"/>
      <c r="DS19" s="132"/>
      <c r="DT19" s="132"/>
      <c r="DU19" s="132"/>
      <c r="DV19" s="139"/>
      <c r="DW19" s="132"/>
      <c r="DX19" s="132"/>
      <c r="DY19" s="109"/>
      <c r="DZ19" s="133"/>
      <c r="EA19" s="109"/>
      <c r="EB19" s="133"/>
      <c r="EC19" s="132"/>
      <c r="ED19" s="132"/>
      <c r="EE19" s="132"/>
      <c r="EF19" s="132"/>
      <c r="EG19" s="132"/>
      <c r="EH19" s="132"/>
      <c r="EI19" s="132"/>
      <c r="EJ19" s="132"/>
      <c r="EK19" s="5">
        <f t="shared" si="0"/>
        <v>14</v>
      </c>
      <c r="EL19" s="5">
        <v>2</v>
      </c>
      <c r="EM19" s="5">
        <f t="shared" si="1"/>
        <v>24</v>
      </c>
      <c r="EN19" s="153">
        <v>1</v>
      </c>
      <c r="EO19" s="7">
        <f t="shared" si="2"/>
        <v>11</v>
      </c>
      <c r="EP19" s="40" t="str">
        <f t="shared" si="3"/>
        <v/>
      </c>
      <c r="EQ19" s="41" t="str">
        <f t="shared" si="4"/>
        <v/>
      </c>
      <c r="ET19" s="164" t="s">
        <v>110</v>
      </c>
    </row>
    <row r="20" spans="1:150" x14ac:dyDescent="0.25">
      <c r="A20" s="129" t="s">
        <v>129</v>
      </c>
      <c r="B20" s="129"/>
      <c r="C20" s="130">
        <v>14</v>
      </c>
      <c r="D20" s="177">
        <v>45726</v>
      </c>
      <c r="E20" s="175">
        <v>0</v>
      </c>
      <c r="F20" s="132"/>
      <c r="G20" s="132"/>
      <c r="H20" s="132"/>
      <c r="I20" s="132"/>
      <c r="J20" s="132"/>
      <c r="K20" s="132">
        <v>1</v>
      </c>
      <c r="L20" s="132">
        <v>1</v>
      </c>
      <c r="M20" s="132">
        <v>1</v>
      </c>
      <c r="N20" s="132"/>
      <c r="O20" s="132"/>
      <c r="P20" s="132">
        <v>1</v>
      </c>
      <c r="Q20" s="176" t="s">
        <v>37</v>
      </c>
      <c r="R20" s="175"/>
      <c r="S20" s="132"/>
      <c r="T20" s="132"/>
      <c r="U20" s="176"/>
      <c r="V20" s="175"/>
      <c r="W20" s="132"/>
      <c r="X20" s="132"/>
      <c r="Y20" s="132"/>
      <c r="Z20" s="132"/>
      <c r="AA20" s="132"/>
      <c r="AB20" s="132"/>
      <c r="AC20" s="132"/>
      <c r="AD20" s="132"/>
      <c r="AE20" s="132"/>
      <c r="AF20" s="132">
        <v>1</v>
      </c>
      <c r="AG20" s="132"/>
      <c r="AH20" s="176"/>
      <c r="AI20" s="174"/>
      <c r="AJ20" s="132"/>
      <c r="AK20" s="132"/>
      <c r="AL20" s="132"/>
      <c r="AM20" s="132"/>
      <c r="AN20" s="132"/>
      <c r="AO20" s="139"/>
      <c r="AP20" s="132"/>
      <c r="AQ20" s="132"/>
      <c r="AR20" s="132"/>
      <c r="AS20" s="132"/>
      <c r="AT20" s="132"/>
      <c r="AU20" s="132"/>
      <c r="AV20" s="132"/>
      <c r="AW20" s="132"/>
      <c r="AX20" s="132"/>
      <c r="AY20" s="139"/>
      <c r="AZ20" s="132"/>
      <c r="BA20" s="132"/>
      <c r="BB20" s="132"/>
      <c r="BC20" s="132"/>
      <c r="BD20" s="132"/>
      <c r="BE20" s="132"/>
      <c r="BF20" s="132"/>
      <c r="BG20" s="132"/>
      <c r="BH20" s="132"/>
      <c r="BI20" s="132"/>
      <c r="BJ20" s="139"/>
      <c r="BK20" s="132"/>
      <c r="BL20" s="132"/>
      <c r="BM20" s="132"/>
      <c r="BN20" s="132"/>
      <c r="BO20" s="132"/>
      <c r="BP20" s="132"/>
      <c r="BQ20" s="132"/>
      <c r="BR20" s="132"/>
      <c r="BS20" s="132"/>
      <c r="BT20" s="132"/>
      <c r="BU20" s="132"/>
      <c r="BV20" s="132"/>
      <c r="BW20" s="132"/>
      <c r="BX20" s="132"/>
      <c r="BY20" s="139"/>
      <c r="BZ20" s="132"/>
      <c r="CA20" s="132"/>
      <c r="CB20" s="132"/>
      <c r="CC20" s="132"/>
      <c r="CD20" s="132"/>
      <c r="CE20" s="132"/>
      <c r="CF20" s="132"/>
      <c r="CG20" s="132"/>
      <c r="CH20" s="132"/>
      <c r="CI20" s="132"/>
      <c r="CJ20" s="139"/>
      <c r="CK20" s="132"/>
      <c r="CL20" s="132"/>
      <c r="CM20" s="132"/>
      <c r="CN20" s="132"/>
      <c r="CO20" s="132"/>
      <c r="CP20" s="132"/>
      <c r="CQ20" s="132"/>
      <c r="CR20" s="132"/>
      <c r="CS20" s="132"/>
      <c r="CT20" s="139"/>
      <c r="CU20" s="132"/>
      <c r="CV20" s="132"/>
      <c r="CW20" s="132"/>
      <c r="CX20" s="132"/>
      <c r="CY20" s="132"/>
      <c r="CZ20" s="132"/>
      <c r="DA20" s="132"/>
      <c r="DB20" s="132"/>
      <c r="DC20" s="132"/>
      <c r="DD20" s="132"/>
      <c r="DE20" s="132"/>
      <c r="DF20" s="132"/>
      <c r="DG20" s="132"/>
      <c r="DH20" s="139"/>
      <c r="DI20" s="109"/>
      <c r="DJ20" s="109"/>
      <c r="DK20" s="133"/>
      <c r="DL20" s="109"/>
      <c r="DM20" s="132"/>
      <c r="DN20" s="132"/>
      <c r="DO20" s="132"/>
      <c r="DP20" s="132"/>
      <c r="DQ20" s="132"/>
      <c r="DR20" s="132"/>
      <c r="DS20" s="132"/>
      <c r="DT20" s="132"/>
      <c r="DU20" s="149"/>
      <c r="DV20" s="139"/>
      <c r="DW20" s="132"/>
      <c r="DX20" s="132"/>
      <c r="DY20" s="109"/>
      <c r="DZ20" s="133"/>
      <c r="EA20" s="109"/>
      <c r="EB20" s="133"/>
      <c r="EC20" s="132"/>
      <c r="ED20" s="132"/>
      <c r="EE20" s="132"/>
      <c r="EF20" s="132"/>
      <c r="EG20" s="132"/>
      <c r="EH20" s="132"/>
      <c r="EI20" s="132"/>
      <c r="EJ20" s="132"/>
      <c r="EK20" s="5">
        <f t="shared" si="0"/>
        <v>5</v>
      </c>
      <c r="EL20" s="5">
        <v>0</v>
      </c>
      <c r="EM20" s="5">
        <f t="shared" si="1"/>
        <v>0</v>
      </c>
      <c r="EN20" s="153">
        <v>0</v>
      </c>
      <c r="EO20" s="7">
        <f t="shared" si="2"/>
        <v>-5</v>
      </c>
      <c r="EP20" s="40" t="str">
        <f t="shared" si="3"/>
        <v>NO</v>
      </c>
      <c r="EQ20" s="41" t="str">
        <f t="shared" si="4"/>
        <v>بوديار محمد قيس</v>
      </c>
      <c r="ET20" s="162" t="s">
        <v>129</v>
      </c>
    </row>
    <row r="21" spans="1:150" x14ac:dyDescent="0.25">
      <c r="A21" s="129" t="s">
        <v>147</v>
      </c>
      <c r="B21" s="129"/>
      <c r="C21" s="130">
        <v>15</v>
      </c>
      <c r="D21" s="177">
        <v>45804</v>
      </c>
      <c r="E21" s="175">
        <v>0</v>
      </c>
      <c r="F21" s="132">
        <v>1</v>
      </c>
      <c r="G21" s="132">
        <v>1</v>
      </c>
      <c r="H21" s="132">
        <v>1</v>
      </c>
      <c r="I21" s="132">
        <v>1</v>
      </c>
      <c r="J21" s="132">
        <v>1</v>
      </c>
      <c r="K21" s="132">
        <v>1</v>
      </c>
      <c r="L21" s="132">
        <v>1</v>
      </c>
      <c r="M21" s="132">
        <v>1</v>
      </c>
      <c r="N21" s="132">
        <v>1</v>
      </c>
      <c r="O21" s="132"/>
      <c r="P21" s="132">
        <v>1</v>
      </c>
      <c r="Q21" s="176" t="s">
        <v>37</v>
      </c>
      <c r="R21" s="175"/>
      <c r="S21" s="132"/>
      <c r="T21" s="132">
        <v>1</v>
      </c>
      <c r="U21" s="176">
        <v>1</v>
      </c>
      <c r="V21" s="175">
        <v>1</v>
      </c>
      <c r="W21" s="132">
        <v>1</v>
      </c>
      <c r="X21" s="132">
        <v>1</v>
      </c>
      <c r="Y21" s="132">
        <v>1</v>
      </c>
      <c r="Z21" s="132">
        <v>1</v>
      </c>
      <c r="AA21" s="132">
        <v>1</v>
      </c>
      <c r="AB21" s="132">
        <v>1</v>
      </c>
      <c r="AC21" s="132">
        <v>1</v>
      </c>
      <c r="AD21" s="132">
        <v>1</v>
      </c>
      <c r="AE21" s="132">
        <v>1</v>
      </c>
      <c r="AF21" s="132"/>
      <c r="AG21" s="132">
        <v>1</v>
      </c>
      <c r="AH21" s="176"/>
      <c r="AI21" s="174"/>
      <c r="AJ21" s="132"/>
      <c r="AK21" s="132"/>
      <c r="AL21" s="132"/>
      <c r="AM21" s="132"/>
      <c r="AN21" s="132"/>
      <c r="AO21" s="139"/>
      <c r="AP21" s="132"/>
      <c r="AQ21" s="132"/>
      <c r="AR21" s="132"/>
      <c r="AS21" s="132"/>
      <c r="AT21" s="132"/>
      <c r="AU21" s="132"/>
      <c r="AV21" s="132"/>
      <c r="AW21" s="132"/>
      <c r="AX21" s="132"/>
      <c r="AY21" s="139"/>
      <c r="AZ21" s="132"/>
      <c r="BA21" s="132"/>
      <c r="BB21" s="132"/>
      <c r="BC21" s="132"/>
      <c r="BD21" s="132"/>
      <c r="BE21" s="132"/>
      <c r="BF21" s="132"/>
      <c r="BG21" s="132"/>
      <c r="BH21" s="132"/>
      <c r="BI21" s="132"/>
      <c r="BJ21" s="139"/>
      <c r="BK21" s="132"/>
      <c r="BL21" s="132"/>
      <c r="BM21" s="132"/>
      <c r="BN21" s="132"/>
      <c r="BO21" s="132"/>
      <c r="BP21" s="132"/>
      <c r="BQ21" s="132"/>
      <c r="BR21" s="132"/>
      <c r="BS21" s="132"/>
      <c r="BT21" s="132"/>
      <c r="BU21" s="132"/>
      <c r="BV21" s="132"/>
      <c r="BW21" s="132"/>
      <c r="BX21" s="132"/>
      <c r="BY21" s="139"/>
      <c r="BZ21" s="132"/>
      <c r="CA21" s="132"/>
      <c r="CB21" s="132"/>
      <c r="CC21" s="132"/>
      <c r="CD21" s="132"/>
      <c r="CE21" s="132"/>
      <c r="CF21" s="132"/>
      <c r="CG21" s="132"/>
      <c r="CH21" s="132"/>
      <c r="CI21" s="132"/>
      <c r="CJ21" s="139"/>
      <c r="CK21" s="132"/>
      <c r="CL21" s="132"/>
      <c r="CM21" s="132"/>
      <c r="CN21" s="132"/>
      <c r="CO21" s="132"/>
      <c r="CP21" s="132"/>
      <c r="CQ21" s="132"/>
      <c r="CR21" s="132"/>
      <c r="CS21" s="132"/>
      <c r="CT21" s="139"/>
      <c r="CU21" s="132"/>
      <c r="CV21" s="132"/>
      <c r="CW21" s="132"/>
      <c r="CX21" s="132"/>
      <c r="CY21" s="132"/>
      <c r="CZ21" s="132"/>
      <c r="DA21" s="132"/>
      <c r="DB21" s="132"/>
      <c r="DC21" s="132"/>
      <c r="DD21" s="132"/>
      <c r="DE21" s="132"/>
      <c r="DF21" s="132"/>
      <c r="DG21" s="132"/>
      <c r="DH21" s="139"/>
      <c r="DI21" s="109"/>
      <c r="DJ21" s="109"/>
      <c r="DK21" s="133"/>
      <c r="DL21" s="109"/>
      <c r="DM21" s="132"/>
      <c r="DN21" s="132"/>
      <c r="DO21" s="132"/>
      <c r="DP21" s="132"/>
      <c r="DQ21" s="132"/>
      <c r="DR21" s="132"/>
      <c r="DS21" s="132"/>
      <c r="DT21" s="132"/>
      <c r="DU21" s="132"/>
      <c r="DV21" s="139"/>
      <c r="DW21" s="132"/>
      <c r="DX21" s="132"/>
      <c r="DY21" s="109"/>
      <c r="DZ21" s="133"/>
      <c r="EA21" s="109"/>
      <c r="EB21" s="133"/>
      <c r="EC21" s="132"/>
      <c r="ED21" s="132"/>
      <c r="EE21" s="132"/>
      <c r="EF21" s="132"/>
      <c r="EG21" s="132"/>
      <c r="EH21" s="132"/>
      <c r="EI21" s="132"/>
      <c r="EJ21" s="132"/>
      <c r="EK21" s="5">
        <f t="shared" si="0"/>
        <v>23</v>
      </c>
      <c r="EL21" s="5">
        <v>2</v>
      </c>
      <c r="EM21" s="5">
        <f t="shared" si="1"/>
        <v>24</v>
      </c>
      <c r="EN21" s="153">
        <v>3</v>
      </c>
      <c r="EO21" s="7">
        <f t="shared" si="2"/>
        <v>4</v>
      </c>
      <c r="EP21" s="40" t="str">
        <f t="shared" si="3"/>
        <v/>
      </c>
      <c r="EQ21" s="41" t="str">
        <f t="shared" si="4"/>
        <v/>
      </c>
      <c r="ET21" s="162" t="s">
        <v>147</v>
      </c>
    </row>
    <row r="22" spans="1:150" x14ac:dyDescent="0.25">
      <c r="A22" s="129" t="s">
        <v>164</v>
      </c>
      <c r="B22" s="129"/>
      <c r="C22" s="130">
        <v>16</v>
      </c>
      <c r="D22" s="177">
        <v>45809</v>
      </c>
      <c r="E22" s="175">
        <v>1</v>
      </c>
      <c r="F22" s="132">
        <v>1</v>
      </c>
      <c r="G22" s="132">
        <v>1</v>
      </c>
      <c r="H22" s="132"/>
      <c r="I22" s="132">
        <v>1</v>
      </c>
      <c r="J22" s="132">
        <v>1</v>
      </c>
      <c r="K22" s="132">
        <v>1</v>
      </c>
      <c r="L22" s="132"/>
      <c r="M22" s="132"/>
      <c r="N22" s="132">
        <v>1</v>
      </c>
      <c r="O22" s="132"/>
      <c r="P22" s="132"/>
      <c r="Q22" s="176" t="s">
        <v>37</v>
      </c>
      <c r="R22" s="175"/>
      <c r="S22" s="132"/>
      <c r="T22" s="132"/>
      <c r="U22" s="176"/>
      <c r="V22" s="175">
        <v>1</v>
      </c>
      <c r="W22" s="132">
        <v>1</v>
      </c>
      <c r="X22" s="132">
        <v>1</v>
      </c>
      <c r="Y22" s="132">
        <v>1</v>
      </c>
      <c r="Z22" s="132">
        <v>1</v>
      </c>
      <c r="AA22" s="132">
        <v>1</v>
      </c>
      <c r="AB22" s="132">
        <v>1</v>
      </c>
      <c r="AC22" s="132">
        <v>1</v>
      </c>
      <c r="AD22" s="132">
        <v>1</v>
      </c>
      <c r="AE22" s="132">
        <v>1</v>
      </c>
      <c r="AF22" s="132">
        <v>1</v>
      </c>
      <c r="AG22" s="132"/>
      <c r="AH22" s="176"/>
      <c r="AI22" s="174"/>
      <c r="AJ22" s="132"/>
      <c r="AK22" s="132"/>
      <c r="AL22" s="132"/>
      <c r="AM22" s="132"/>
      <c r="AN22" s="132"/>
      <c r="AO22" s="139"/>
      <c r="AP22" s="132"/>
      <c r="AQ22" s="132"/>
      <c r="AR22" s="132"/>
      <c r="AS22" s="132"/>
      <c r="AT22" s="132"/>
      <c r="AU22" s="132"/>
      <c r="AV22" s="132"/>
      <c r="AW22" s="132"/>
      <c r="AX22" s="132"/>
      <c r="AY22" s="139"/>
      <c r="AZ22" s="132"/>
      <c r="BA22" s="132"/>
      <c r="BB22" s="132"/>
      <c r="BC22" s="132"/>
      <c r="BD22" s="132"/>
      <c r="BE22" s="132"/>
      <c r="BF22" s="132"/>
      <c r="BG22" s="132"/>
      <c r="BH22" s="132"/>
      <c r="BI22" s="132"/>
      <c r="BJ22" s="139"/>
      <c r="BK22" s="132"/>
      <c r="BL22" s="132"/>
      <c r="BM22" s="132"/>
      <c r="BN22" s="132"/>
      <c r="BO22" s="132"/>
      <c r="BP22" s="132"/>
      <c r="BQ22" s="132"/>
      <c r="BR22" s="132"/>
      <c r="BS22" s="132"/>
      <c r="BT22" s="132"/>
      <c r="BU22" s="132"/>
      <c r="BV22" s="132"/>
      <c r="BW22" s="132"/>
      <c r="BX22" s="132"/>
      <c r="BY22" s="139"/>
      <c r="BZ22" s="132"/>
      <c r="CA22" s="132"/>
      <c r="CB22" s="132"/>
      <c r="CC22" s="132"/>
      <c r="CD22" s="132"/>
      <c r="CE22" s="132"/>
      <c r="CF22" s="132"/>
      <c r="CG22" s="132"/>
      <c r="CH22" s="132"/>
      <c r="CI22" s="132"/>
      <c r="CJ22" s="139"/>
      <c r="CK22" s="132"/>
      <c r="CL22" s="132"/>
      <c r="CM22" s="132"/>
      <c r="CN22" s="132"/>
      <c r="CO22" s="132"/>
      <c r="CP22" s="132"/>
      <c r="CQ22" s="132"/>
      <c r="CR22" s="132"/>
      <c r="CS22" s="132"/>
      <c r="CT22" s="139"/>
      <c r="CU22" s="132"/>
      <c r="CV22" s="132"/>
      <c r="CW22" s="132"/>
      <c r="CX22" s="132"/>
      <c r="CY22" s="132"/>
      <c r="CZ22" s="132"/>
      <c r="DA22" s="132"/>
      <c r="DB22" s="132"/>
      <c r="DC22" s="132"/>
      <c r="DD22" s="132"/>
      <c r="DE22" s="132"/>
      <c r="DF22" s="132"/>
      <c r="DG22" s="132"/>
      <c r="DH22" s="139"/>
      <c r="DI22" s="109"/>
      <c r="DJ22" s="109"/>
      <c r="DK22" s="133"/>
      <c r="DL22" s="109"/>
      <c r="DM22" s="132"/>
      <c r="DN22" s="132"/>
      <c r="DO22" s="132"/>
      <c r="DP22" s="132"/>
      <c r="DQ22" s="132"/>
      <c r="DR22" s="132"/>
      <c r="DS22" s="132"/>
      <c r="DT22" s="132"/>
      <c r="DU22" s="149"/>
      <c r="DV22" s="139"/>
      <c r="DW22" s="132"/>
      <c r="DX22" s="132"/>
      <c r="DY22" s="109"/>
      <c r="DZ22" s="133"/>
      <c r="EA22" s="109"/>
      <c r="EB22" s="133"/>
      <c r="EC22" s="132"/>
      <c r="ED22" s="132"/>
      <c r="EE22" s="132"/>
      <c r="EF22" s="132"/>
      <c r="EG22" s="132"/>
      <c r="EH22" s="132"/>
      <c r="EI22" s="132"/>
      <c r="EJ22" s="132"/>
      <c r="EK22" s="5">
        <f t="shared" si="0"/>
        <v>18</v>
      </c>
      <c r="EL22" s="5">
        <v>2</v>
      </c>
      <c r="EM22" s="5">
        <f t="shared" si="1"/>
        <v>24</v>
      </c>
      <c r="EN22" s="153">
        <v>-3</v>
      </c>
      <c r="EO22" s="7">
        <f t="shared" si="2"/>
        <v>3</v>
      </c>
      <c r="EP22" s="40" t="str">
        <f t="shared" si="3"/>
        <v/>
      </c>
      <c r="EQ22" s="41" t="str">
        <f t="shared" si="4"/>
        <v/>
      </c>
      <c r="ET22" s="162" t="s">
        <v>164</v>
      </c>
    </row>
    <row r="23" spans="1:150" x14ac:dyDescent="0.25">
      <c r="A23" s="129" t="s">
        <v>160</v>
      </c>
      <c r="B23" s="129"/>
      <c r="C23" s="130">
        <v>17</v>
      </c>
      <c r="D23" s="177">
        <v>45813</v>
      </c>
      <c r="E23" s="175">
        <v>1</v>
      </c>
      <c r="F23" s="132">
        <v>1</v>
      </c>
      <c r="G23" s="132">
        <v>1</v>
      </c>
      <c r="H23" s="132"/>
      <c r="I23" s="132">
        <v>1</v>
      </c>
      <c r="J23" s="132">
        <v>1</v>
      </c>
      <c r="K23" s="132">
        <v>1</v>
      </c>
      <c r="L23" s="132"/>
      <c r="M23" s="132"/>
      <c r="N23" s="132">
        <v>1</v>
      </c>
      <c r="O23" s="132"/>
      <c r="P23" s="132"/>
      <c r="Q23" s="176" t="s">
        <v>37</v>
      </c>
      <c r="R23" s="175"/>
      <c r="S23" s="132"/>
      <c r="T23" s="132"/>
      <c r="U23" s="176"/>
      <c r="V23" s="175">
        <v>1</v>
      </c>
      <c r="W23" s="132">
        <v>1</v>
      </c>
      <c r="X23" s="132">
        <v>1</v>
      </c>
      <c r="Y23" s="132"/>
      <c r="Z23" s="132">
        <v>1</v>
      </c>
      <c r="AA23" s="132">
        <v>1</v>
      </c>
      <c r="AB23" s="132">
        <v>1</v>
      </c>
      <c r="AC23" s="132">
        <v>1</v>
      </c>
      <c r="AD23" s="132">
        <v>1</v>
      </c>
      <c r="AE23" s="132">
        <v>1</v>
      </c>
      <c r="AF23" s="132">
        <v>1</v>
      </c>
      <c r="AG23" s="132"/>
      <c r="AH23" s="176"/>
      <c r="AI23" s="174"/>
      <c r="AJ23" s="132"/>
      <c r="AK23" s="132"/>
      <c r="AL23" s="132"/>
      <c r="AM23" s="132"/>
      <c r="AN23" s="132"/>
      <c r="AO23" s="139"/>
      <c r="AP23" s="132"/>
      <c r="AQ23" s="132"/>
      <c r="AR23" s="132"/>
      <c r="AS23" s="132"/>
      <c r="AT23" s="132"/>
      <c r="AU23" s="132"/>
      <c r="AV23" s="132"/>
      <c r="AW23" s="132"/>
      <c r="AX23" s="132"/>
      <c r="AY23" s="139"/>
      <c r="AZ23" s="132"/>
      <c r="BA23" s="132"/>
      <c r="BB23" s="132"/>
      <c r="BC23" s="132"/>
      <c r="BD23" s="132"/>
      <c r="BE23" s="132"/>
      <c r="BF23" s="132"/>
      <c r="BG23" s="132"/>
      <c r="BH23" s="132"/>
      <c r="BI23" s="132"/>
      <c r="BJ23" s="139"/>
      <c r="BK23" s="132"/>
      <c r="BL23" s="132"/>
      <c r="BM23" s="132"/>
      <c r="BN23" s="132"/>
      <c r="BO23" s="132"/>
      <c r="BP23" s="132"/>
      <c r="BQ23" s="132"/>
      <c r="BR23" s="132"/>
      <c r="BS23" s="132"/>
      <c r="BT23" s="132"/>
      <c r="BU23" s="132"/>
      <c r="BV23" s="132"/>
      <c r="BW23" s="132"/>
      <c r="BX23" s="132"/>
      <c r="BY23" s="139"/>
      <c r="BZ23" s="132"/>
      <c r="CA23" s="132"/>
      <c r="CB23" s="132"/>
      <c r="CC23" s="132"/>
      <c r="CD23" s="132"/>
      <c r="CE23" s="132"/>
      <c r="CF23" s="132"/>
      <c r="CG23" s="132"/>
      <c r="CH23" s="132"/>
      <c r="CI23" s="132"/>
      <c r="CJ23" s="139"/>
      <c r="CK23" s="132"/>
      <c r="CL23" s="132"/>
      <c r="CM23" s="132"/>
      <c r="CN23" s="132"/>
      <c r="CO23" s="132"/>
      <c r="CP23" s="132"/>
      <c r="CQ23" s="132"/>
      <c r="CR23" s="132"/>
      <c r="CS23" s="132"/>
      <c r="CT23" s="139"/>
      <c r="CU23" s="132"/>
      <c r="CV23" s="132"/>
      <c r="CW23" s="132"/>
      <c r="CX23" s="132"/>
      <c r="CY23" s="132"/>
      <c r="CZ23" s="132"/>
      <c r="DA23" s="132"/>
      <c r="DB23" s="132"/>
      <c r="DC23" s="132"/>
      <c r="DD23" s="132"/>
      <c r="DE23" s="132"/>
      <c r="DF23" s="132"/>
      <c r="DG23" s="132"/>
      <c r="DH23" s="139"/>
      <c r="DI23" s="109"/>
      <c r="DJ23" s="109"/>
      <c r="DK23" s="133"/>
      <c r="DL23" s="109"/>
      <c r="DM23" s="132"/>
      <c r="DN23" s="132"/>
      <c r="DO23" s="132"/>
      <c r="DP23" s="132"/>
      <c r="DQ23" s="132"/>
      <c r="DR23" s="132"/>
      <c r="DS23" s="132"/>
      <c r="DT23" s="132"/>
      <c r="DU23" s="149"/>
      <c r="DV23" s="139"/>
      <c r="DW23" s="132"/>
      <c r="DX23" s="132"/>
      <c r="DY23" s="109"/>
      <c r="DZ23" s="133"/>
      <c r="EA23" s="109"/>
      <c r="EB23" s="133"/>
      <c r="EC23" s="132"/>
      <c r="ED23" s="132"/>
      <c r="EE23" s="132"/>
      <c r="EF23" s="132"/>
      <c r="EG23" s="132"/>
      <c r="EH23" s="132"/>
      <c r="EI23" s="132"/>
      <c r="EJ23" s="132"/>
      <c r="EK23" s="5">
        <f t="shared" si="0"/>
        <v>17</v>
      </c>
      <c r="EL23" s="5">
        <v>2</v>
      </c>
      <c r="EM23" s="5">
        <f t="shared" si="1"/>
        <v>24</v>
      </c>
      <c r="EN23" s="153">
        <v>-1</v>
      </c>
      <c r="EO23" s="7">
        <f t="shared" si="2"/>
        <v>6</v>
      </c>
      <c r="EP23" s="40" t="str">
        <f t="shared" si="3"/>
        <v/>
      </c>
      <c r="EQ23" s="41" t="str">
        <f t="shared" si="4"/>
        <v/>
      </c>
      <c r="ET23" s="162" t="s">
        <v>160</v>
      </c>
    </row>
    <row r="24" spans="1:150" x14ac:dyDescent="0.25">
      <c r="A24" s="129" t="s">
        <v>161</v>
      </c>
      <c r="B24" s="129"/>
      <c r="C24" s="130">
        <v>18</v>
      </c>
      <c r="D24" s="177">
        <v>45814</v>
      </c>
      <c r="E24" s="175">
        <v>1</v>
      </c>
      <c r="F24" s="132">
        <v>1</v>
      </c>
      <c r="G24" s="132">
        <v>1</v>
      </c>
      <c r="H24" s="132"/>
      <c r="I24" s="132">
        <v>1</v>
      </c>
      <c r="J24" s="132">
        <v>1</v>
      </c>
      <c r="K24" s="132">
        <v>1</v>
      </c>
      <c r="L24" s="132"/>
      <c r="M24" s="132"/>
      <c r="N24" s="132">
        <v>1</v>
      </c>
      <c r="O24" s="132"/>
      <c r="P24" s="132"/>
      <c r="Q24" s="176" t="s">
        <v>37</v>
      </c>
      <c r="R24" s="175"/>
      <c r="S24" s="132"/>
      <c r="T24" s="132"/>
      <c r="U24" s="176"/>
      <c r="V24" s="175">
        <v>1</v>
      </c>
      <c r="W24" s="132">
        <v>1</v>
      </c>
      <c r="X24" s="132">
        <v>1</v>
      </c>
      <c r="Y24" s="132"/>
      <c r="Z24" s="132">
        <v>1</v>
      </c>
      <c r="AA24" s="132">
        <v>1</v>
      </c>
      <c r="AB24" s="132">
        <v>1</v>
      </c>
      <c r="AC24" s="132">
        <v>1</v>
      </c>
      <c r="AD24" s="132">
        <v>1</v>
      </c>
      <c r="AE24" s="132">
        <v>1</v>
      </c>
      <c r="AF24" s="132">
        <v>1</v>
      </c>
      <c r="AG24" s="132"/>
      <c r="AH24" s="176"/>
      <c r="AI24" s="174"/>
      <c r="AJ24" s="132"/>
      <c r="AK24" s="132"/>
      <c r="AL24" s="132"/>
      <c r="AM24" s="132"/>
      <c r="AN24" s="132"/>
      <c r="AO24" s="139"/>
      <c r="AP24" s="132"/>
      <c r="AQ24" s="132"/>
      <c r="AR24" s="132"/>
      <c r="AS24" s="132"/>
      <c r="AT24" s="132"/>
      <c r="AU24" s="132"/>
      <c r="AV24" s="132"/>
      <c r="AW24" s="132"/>
      <c r="AX24" s="132"/>
      <c r="AY24" s="139"/>
      <c r="AZ24" s="132"/>
      <c r="BA24" s="132"/>
      <c r="BB24" s="132"/>
      <c r="BC24" s="132"/>
      <c r="BD24" s="132"/>
      <c r="BE24" s="132"/>
      <c r="BF24" s="132"/>
      <c r="BG24" s="132"/>
      <c r="BH24" s="132"/>
      <c r="BI24" s="132"/>
      <c r="BJ24" s="139"/>
      <c r="BK24" s="132"/>
      <c r="BL24" s="132"/>
      <c r="BM24" s="132"/>
      <c r="BN24" s="132"/>
      <c r="BO24" s="132"/>
      <c r="BP24" s="132"/>
      <c r="BQ24" s="132"/>
      <c r="BR24" s="132"/>
      <c r="BS24" s="132"/>
      <c r="BT24" s="132"/>
      <c r="BU24" s="132"/>
      <c r="BV24" s="132"/>
      <c r="BW24" s="132"/>
      <c r="BX24" s="132"/>
      <c r="BY24" s="139"/>
      <c r="BZ24" s="132"/>
      <c r="CA24" s="132"/>
      <c r="CB24" s="132"/>
      <c r="CC24" s="132"/>
      <c r="CD24" s="132"/>
      <c r="CE24" s="132"/>
      <c r="CF24" s="132"/>
      <c r="CG24" s="132"/>
      <c r="CH24" s="132"/>
      <c r="CI24" s="132"/>
      <c r="CJ24" s="139"/>
      <c r="CK24" s="132"/>
      <c r="CL24" s="132"/>
      <c r="CM24" s="132"/>
      <c r="CN24" s="132"/>
      <c r="CO24" s="132"/>
      <c r="CP24" s="132"/>
      <c r="CQ24" s="132"/>
      <c r="CR24" s="132"/>
      <c r="CS24" s="132"/>
      <c r="CT24" s="139"/>
      <c r="CU24" s="132"/>
      <c r="CV24" s="132"/>
      <c r="CW24" s="132"/>
      <c r="CX24" s="132"/>
      <c r="CY24" s="132"/>
      <c r="CZ24" s="132"/>
      <c r="DA24" s="132"/>
      <c r="DB24" s="132"/>
      <c r="DC24" s="132"/>
      <c r="DD24" s="132"/>
      <c r="DE24" s="132"/>
      <c r="DF24" s="132"/>
      <c r="DG24" s="132"/>
      <c r="DH24" s="139"/>
      <c r="DI24" s="109"/>
      <c r="DJ24" s="109"/>
      <c r="DK24" s="133"/>
      <c r="DL24" s="109"/>
      <c r="DM24" s="132"/>
      <c r="DN24" s="132"/>
      <c r="DO24" s="132"/>
      <c r="DP24" s="132"/>
      <c r="DQ24" s="132"/>
      <c r="DR24" s="132"/>
      <c r="DS24" s="132"/>
      <c r="DT24" s="132"/>
      <c r="DU24" s="149"/>
      <c r="DV24" s="139"/>
      <c r="DW24" s="132"/>
      <c r="DX24" s="132"/>
      <c r="DY24" s="109"/>
      <c r="DZ24" s="133"/>
      <c r="EA24" s="109"/>
      <c r="EB24" s="133"/>
      <c r="EC24" s="132"/>
      <c r="ED24" s="132"/>
      <c r="EE24" s="132"/>
      <c r="EF24" s="132"/>
      <c r="EG24" s="132"/>
      <c r="EH24" s="132"/>
      <c r="EI24" s="132"/>
      <c r="EJ24" s="132"/>
      <c r="EK24" s="5">
        <f t="shared" si="0"/>
        <v>17</v>
      </c>
      <c r="EL24" s="5">
        <v>2</v>
      </c>
      <c r="EM24" s="5">
        <f t="shared" si="1"/>
        <v>24</v>
      </c>
      <c r="EN24" s="153">
        <v>1</v>
      </c>
      <c r="EO24" s="7">
        <f t="shared" si="2"/>
        <v>8</v>
      </c>
      <c r="EP24" s="40" t="str">
        <f t="shared" si="3"/>
        <v/>
      </c>
      <c r="EQ24" s="41" t="str">
        <f t="shared" si="4"/>
        <v/>
      </c>
      <c r="ET24" s="162" t="s">
        <v>161</v>
      </c>
    </row>
    <row r="25" spans="1:150" x14ac:dyDescent="0.25">
      <c r="A25" s="129" t="s">
        <v>168</v>
      </c>
      <c r="B25" s="129"/>
      <c r="C25" s="130">
        <v>19</v>
      </c>
      <c r="D25" s="177">
        <v>45834</v>
      </c>
      <c r="E25" s="175">
        <v>0</v>
      </c>
      <c r="F25" s="132">
        <v>1</v>
      </c>
      <c r="G25" s="132"/>
      <c r="H25" s="132">
        <v>1</v>
      </c>
      <c r="I25" s="132">
        <v>1</v>
      </c>
      <c r="J25" s="132">
        <v>1</v>
      </c>
      <c r="K25" s="132">
        <v>1</v>
      </c>
      <c r="L25" s="132">
        <v>1</v>
      </c>
      <c r="M25" s="132"/>
      <c r="N25" s="132">
        <v>1</v>
      </c>
      <c r="O25" s="132">
        <v>1</v>
      </c>
      <c r="P25" s="132"/>
      <c r="Q25" s="176" t="s">
        <v>37</v>
      </c>
      <c r="R25" s="175">
        <v>1</v>
      </c>
      <c r="S25" s="132">
        <v>1</v>
      </c>
      <c r="T25" s="132">
        <v>1</v>
      </c>
      <c r="U25" s="176">
        <v>1</v>
      </c>
      <c r="V25" s="175">
        <v>1</v>
      </c>
      <c r="W25" s="132">
        <v>1</v>
      </c>
      <c r="X25" s="132">
        <v>1</v>
      </c>
      <c r="Y25" s="132">
        <v>1</v>
      </c>
      <c r="Z25" s="132">
        <v>1</v>
      </c>
      <c r="AA25" s="132">
        <v>1</v>
      </c>
      <c r="AB25" s="132">
        <v>1</v>
      </c>
      <c r="AC25" s="132"/>
      <c r="AD25" s="132">
        <v>1</v>
      </c>
      <c r="AE25" s="132">
        <v>1</v>
      </c>
      <c r="AF25" s="132">
        <v>1</v>
      </c>
      <c r="AG25" s="132">
        <v>1</v>
      </c>
      <c r="AH25" s="176"/>
      <c r="AI25" s="174"/>
      <c r="AJ25" s="132"/>
      <c r="AK25" s="132"/>
      <c r="AL25" s="132"/>
      <c r="AM25" s="132"/>
      <c r="AN25" s="132"/>
      <c r="AO25" s="139"/>
      <c r="AP25" s="132"/>
      <c r="AQ25" s="132"/>
      <c r="AR25" s="132"/>
      <c r="AS25" s="132"/>
      <c r="AT25" s="132"/>
      <c r="AU25" s="132"/>
      <c r="AV25" s="132"/>
      <c r="AW25" s="132"/>
      <c r="AX25" s="132"/>
      <c r="AY25" s="139"/>
      <c r="AZ25" s="132"/>
      <c r="BA25" s="132"/>
      <c r="BB25" s="132"/>
      <c r="BC25" s="132"/>
      <c r="BD25" s="132"/>
      <c r="BE25" s="132"/>
      <c r="BF25" s="132"/>
      <c r="BG25" s="132"/>
      <c r="BH25" s="132"/>
      <c r="BI25" s="132"/>
      <c r="BJ25" s="139"/>
      <c r="BK25" s="132"/>
      <c r="BL25" s="132"/>
      <c r="BM25" s="132"/>
      <c r="BN25" s="132"/>
      <c r="BO25" s="132"/>
      <c r="BP25" s="132"/>
      <c r="BQ25" s="132"/>
      <c r="BR25" s="132"/>
      <c r="BS25" s="132"/>
      <c r="BT25" s="132"/>
      <c r="BU25" s="132"/>
      <c r="BV25" s="132"/>
      <c r="BW25" s="132"/>
      <c r="BX25" s="132"/>
      <c r="BY25" s="139"/>
      <c r="BZ25" s="132"/>
      <c r="CA25" s="132"/>
      <c r="CB25" s="132"/>
      <c r="CC25" s="132"/>
      <c r="CD25" s="132"/>
      <c r="CE25" s="132"/>
      <c r="CF25" s="132"/>
      <c r="CG25" s="132"/>
      <c r="CH25" s="132"/>
      <c r="CI25" s="132"/>
      <c r="CJ25" s="139"/>
      <c r="CK25" s="132"/>
      <c r="CL25" s="132"/>
      <c r="CM25" s="132"/>
      <c r="CN25" s="132"/>
      <c r="CO25" s="132"/>
      <c r="CP25" s="132"/>
      <c r="CQ25" s="132"/>
      <c r="CR25" s="132"/>
      <c r="CS25" s="132"/>
      <c r="CT25" s="139"/>
      <c r="CU25" s="132"/>
      <c r="CV25" s="132"/>
      <c r="CW25" s="132"/>
      <c r="CX25" s="132"/>
      <c r="CY25" s="132"/>
      <c r="CZ25" s="132"/>
      <c r="DA25" s="132"/>
      <c r="DB25" s="132"/>
      <c r="DC25" s="132"/>
      <c r="DD25" s="132"/>
      <c r="DE25" s="132"/>
      <c r="DF25" s="132"/>
      <c r="DG25" s="132"/>
      <c r="DH25" s="139"/>
      <c r="DI25" s="109"/>
      <c r="DJ25" s="109"/>
      <c r="DK25" s="133"/>
      <c r="DL25" s="109"/>
      <c r="DM25" s="132"/>
      <c r="DN25" s="132"/>
      <c r="DO25" s="132"/>
      <c r="DP25" s="132"/>
      <c r="DQ25" s="132"/>
      <c r="DR25" s="132"/>
      <c r="DS25" s="132"/>
      <c r="DT25" s="132"/>
      <c r="DU25" s="149"/>
      <c r="DV25" s="139"/>
      <c r="DW25" s="132"/>
      <c r="DX25" s="132"/>
      <c r="DY25" s="109"/>
      <c r="DZ25" s="133"/>
      <c r="EA25" s="109"/>
      <c r="EB25" s="133"/>
      <c r="EC25" s="132"/>
      <c r="ED25" s="132"/>
      <c r="EE25" s="132"/>
      <c r="EF25" s="132"/>
      <c r="EG25" s="132"/>
      <c r="EH25" s="132"/>
      <c r="EI25" s="132"/>
      <c r="EJ25" s="132"/>
      <c r="EK25" s="5">
        <f t="shared" si="0"/>
        <v>23</v>
      </c>
      <c r="EL25" s="5">
        <v>2</v>
      </c>
      <c r="EM25" s="5">
        <f t="shared" si="1"/>
        <v>24</v>
      </c>
      <c r="EN25" s="153">
        <v>8</v>
      </c>
      <c r="EO25" s="7">
        <f t="shared" si="2"/>
        <v>9</v>
      </c>
      <c r="EP25" s="40" t="str">
        <f t="shared" si="3"/>
        <v/>
      </c>
      <c r="EQ25" s="41" t="str">
        <f t="shared" si="4"/>
        <v/>
      </c>
      <c r="ET25" s="164" t="s">
        <v>168</v>
      </c>
    </row>
    <row r="26" spans="1:150" x14ac:dyDescent="0.25">
      <c r="A26" s="129" t="s">
        <v>169</v>
      </c>
      <c r="B26" s="129"/>
      <c r="C26" s="130">
        <v>20</v>
      </c>
      <c r="D26" s="177">
        <v>45834</v>
      </c>
      <c r="E26" s="175">
        <v>0</v>
      </c>
      <c r="F26" s="132">
        <v>1</v>
      </c>
      <c r="G26" s="132"/>
      <c r="H26" s="132">
        <v>1</v>
      </c>
      <c r="I26" s="132">
        <v>1</v>
      </c>
      <c r="J26" s="132">
        <v>1</v>
      </c>
      <c r="K26" s="132">
        <v>1</v>
      </c>
      <c r="L26" s="132">
        <v>1</v>
      </c>
      <c r="M26" s="132"/>
      <c r="N26" s="132">
        <v>1</v>
      </c>
      <c r="O26" s="132">
        <v>1</v>
      </c>
      <c r="P26" s="132">
        <v>1</v>
      </c>
      <c r="Q26" s="176" t="s">
        <v>37</v>
      </c>
      <c r="R26" s="175">
        <v>1</v>
      </c>
      <c r="S26" s="132"/>
      <c r="T26" s="132">
        <v>1</v>
      </c>
      <c r="U26" s="176">
        <v>1</v>
      </c>
      <c r="V26" s="175"/>
      <c r="W26" s="132"/>
      <c r="X26" s="132"/>
      <c r="Y26" s="132">
        <v>1</v>
      </c>
      <c r="Z26" s="132">
        <v>1</v>
      </c>
      <c r="AA26" s="132">
        <v>1</v>
      </c>
      <c r="AB26" s="132">
        <v>1</v>
      </c>
      <c r="AC26" s="132"/>
      <c r="AD26" s="132"/>
      <c r="AE26" s="132">
        <v>1</v>
      </c>
      <c r="AF26" s="132">
        <v>1</v>
      </c>
      <c r="AG26" s="132">
        <v>1</v>
      </c>
      <c r="AH26" s="176"/>
      <c r="AI26" s="174"/>
      <c r="AJ26" s="132"/>
      <c r="AK26" s="132"/>
      <c r="AL26" s="132"/>
      <c r="AM26" s="132"/>
      <c r="AN26" s="132"/>
      <c r="AO26" s="139"/>
      <c r="AP26" s="132"/>
      <c r="AQ26" s="132"/>
      <c r="AR26" s="132"/>
      <c r="AS26" s="132"/>
      <c r="AT26" s="132"/>
      <c r="AU26" s="132"/>
      <c r="AV26" s="132"/>
      <c r="AW26" s="132"/>
      <c r="AX26" s="132"/>
      <c r="AY26" s="139"/>
      <c r="AZ26" s="132"/>
      <c r="BA26" s="132"/>
      <c r="BB26" s="132"/>
      <c r="BC26" s="132"/>
      <c r="BD26" s="132"/>
      <c r="BE26" s="132"/>
      <c r="BF26" s="132"/>
      <c r="BG26" s="132"/>
      <c r="BH26" s="132"/>
      <c r="BI26" s="132"/>
      <c r="BJ26" s="139"/>
      <c r="BK26" s="132"/>
      <c r="BL26" s="132"/>
      <c r="BM26" s="132"/>
      <c r="BN26" s="132"/>
      <c r="BO26" s="132"/>
      <c r="BP26" s="132"/>
      <c r="BQ26" s="132"/>
      <c r="BR26" s="132"/>
      <c r="BS26" s="132"/>
      <c r="BT26" s="132"/>
      <c r="BU26" s="132"/>
      <c r="BV26" s="132"/>
      <c r="BW26" s="132"/>
      <c r="BX26" s="132"/>
      <c r="BY26" s="139"/>
      <c r="BZ26" s="132"/>
      <c r="CA26" s="132"/>
      <c r="CB26" s="132"/>
      <c r="CC26" s="132"/>
      <c r="CD26" s="132"/>
      <c r="CE26" s="132"/>
      <c r="CF26" s="132"/>
      <c r="CG26" s="132"/>
      <c r="CH26" s="132"/>
      <c r="CI26" s="132"/>
      <c r="CJ26" s="139"/>
      <c r="CK26" s="132"/>
      <c r="CL26" s="132"/>
      <c r="CM26" s="132"/>
      <c r="CN26" s="132"/>
      <c r="CO26" s="132"/>
      <c r="CP26" s="132"/>
      <c r="CQ26" s="132"/>
      <c r="CR26" s="132"/>
      <c r="CS26" s="132"/>
      <c r="CT26" s="139"/>
      <c r="CU26" s="132"/>
      <c r="CV26" s="132"/>
      <c r="CW26" s="132"/>
      <c r="CX26" s="132"/>
      <c r="CY26" s="132"/>
      <c r="CZ26" s="132"/>
      <c r="DA26" s="132"/>
      <c r="DB26" s="132"/>
      <c r="DC26" s="132"/>
      <c r="DD26" s="132"/>
      <c r="DE26" s="132"/>
      <c r="DF26" s="132"/>
      <c r="DG26" s="132"/>
      <c r="DH26" s="139"/>
      <c r="DI26" s="109"/>
      <c r="DJ26" s="109"/>
      <c r="DK26" s="133"/>
      <c r="DL26" s="109"/>
      <c r="DM26" s="132"/>
      <c r="DN26" s="132"/>
      <c r="DO26" s="132"/>
      <c r="DP26" s="132"/>
      <c r="DQ26" s="132"/>
      <c r="DR26" s="132"/>
      <c r="DS26" s="132"/>
      <c r="DT26" s="132"/>
      <c r="DU26" s="149"/>
      <c r="DV26" s="139"/>
      <c r="DW26" s="132"/>
      <c r="DX26" s="132"/>
      <c r="DY26" s="109"/>
      <c r="DZ26" s="133"/>
      <c r="EA26" s="109"/>
      <c r="EB26" s="133"/>
      <c r="EC26" s="132"/>
      <c r="ED26" s="132"/>
      <c r="EE26" s="132"/>
      <c r="EF26" s="132"/>
      <c r="EG26" s="132"/>
      <c r="EH26" s="132"/>
      <c r="EI26" s="132"/>
      <c r="EJ26" s="132"/>
      <c r="EK26" s="5">
        <f t="shared" si="0"/>
        <v>19</v>
      </c>
      <c r="EL26" s="5">
        <v>2</v>
      </c>
      <c r="EM26" s="5">
        <f t="shared" si="1"/>
        <v>24</v>
      </c>
      <c r="EN26" s="153">
        <v>5</v>
      </c>
      <c r="EO26" s="7">
        <f t="shared" si="2"/>
        <v>10</v>
      </c>
      <c r="EP26" s="40" t="str">
        <f t="shared" si="3"/>
        <v/>
      </c>
      <c r="EQ26" s="41" t="str">
        <f t="shared" si="4"/>
        <v/>
      </c>
      <c r="ET26" s="164" t="s">
        <v>169</v>
      </c>
    </row>
    <row r="27" spans="1:150" x14ac:dyDescent="0.25">
      <c r="A27" s="129" t="s">
        <v>170</v>
      </c>
      <c r="B27" s="129"/>
      <c r="C27" s="130">
        <v>21</v>
      </c>
      <c r="D27" s="177">
        <v>45830</v>
      </c>
      <c r="E27" s="175">
        <v>0</v>
      </c>
      <c r="F27" s="132">
        <v>1</v>
      </c>
      <c r="G27" s="132"/>
      <c r="H27" s="132">
        <v>1</v>
      </c>
      <c r="I27" s="132">
        <v>1</v>
      </c>
      <c r="J27" s="132">
        <v>1</v>
      </c>
      <c r="K27" s="132">
        <v>1</v>
      </c>
      <c r="L27" s="132">
        <v>1</v>
      </c>
      <c r="M27" s="132"/>
      <c r="N27" s="132">
        <v>1</v>
      </c>
      <c r="O27" s="132">
        <v>1</v>
      </c>
      <c r="P27" s="132">
        <v>1</v>
      </c>
      <c r="Q27" s="176" t="s">
        <v>37</v>
      </c>
      <c r="R27" s="175"/>
      <c r="S27" s="132"/>
      <c r="T27" s="132">
        <v>1</v>
      </c>
      <c r="U27" s="176">
        <v>1</v>
      </c>
      <c r="V27" s="175">
        <v>1</v>
      </c>
      <c r="W27" s="132">
        <v>1</v>
      </c>
      <c r="X27" s="132"/>
      <c r="Y27" s="132">
        <v>1</v>
      </c>
      <c r="Z27" s="132">
        <v>1</v>
      </c>
      <c r="AA27" s="132">
        <v>1</v>
      </c>
      <c r="AB27" s="132">
        <v>1</v>
      </c>
      <c r="AC27" s="132">
        <v>1</v>
      </c>
      <c r="AD27" s="132">
        <v>1</v>
      </c>
      <c r="AE27" s="132">
        <v>1</v>
      </c>
      <c r="AF27" s="132">
        <v>1</v>
      </c>
      <c r="AG27" s="132">
        <v>1</v>
      </c>
      <c r="AH27" s="176"/>
      <c r="AI27" s="174"/>
      <c r="AJ27" s="132"/>
      <c r="AK27" s="132"/>
      <c r="AL27" s="132"/>
      <c r="AM27" s="132"/>
      <c r="AN27" s="132"/>
      <c r="AO27" s="139"/>
      <c r="AP27" s="132"/>
      <c r="AQ27" s="132"/>
      <c r="AR27" s="132"/>
      <c r="AS27" s="132"/>
      <c r="AT27" s="132"/>
      <c r="AU27" s="132"/>
      <c r="AV27" s="132"/>
      <c r="AW27" s="132"/>
      <c r="AX27" s="132"/>
      <c r="AY27" s="139"/>
      <c r="AZ27" s="132"/>
      <c r="BA27" s="132"/>
      <c r="BB27" s="132"/>
      <c r="BC27" s="132"/>
      <c r="BD27" s="132"/>
      <c r="BE27" s="132"/>
      <c r="BF27" s="132"/>
      <c r="BG27" s="132"/>
      <c r="BH27" s="132"/>
      <c r="BI27" s="132"/>
      <c r="BJ27" s="139"/>
      <c r="BK27" s="132"/>
      <c r="BL27" s="132"/>
      <c r="BM27" s="132"/>
      <c r="BN27" s="132"/>
      <c r="BO27" s="132"/>
      <c r="BP27" s="132"/>
      <c r="BQ27" s="132"/>
      <c r="BR27" s="132"/>
      <c r="BS27" s="132"/>
      <c r="BT27" s="132"/>
      <c r="BU27" s="132"/>
      <c r="BV27" s="132"/>
      <c r="BW27" s="132"/>
      <c r="BX27" s="132"/>
      <c r="BY27" s="139"/>
      <c r="BZ27" s="132"/>
      <c r="CA27" s="132"/>
      <c r="CB27" s="132"/>
      <c r="CC27" s="132"/>
      <c r="CD27" s="132"/>
      <c r="CE27" s="132"/>
      <c r="CF27" s="132"/>
      <c r="CG27" s="132"/>
      <c r="CH27" s="132"/>
      <c r="CI27" s="132"/>
      <c r="CJ27" s="139"/>
      <c r="CK27" s="132"/>
      <c r="CL27" s="132"/>
      <c r="CM27" s="132"/>
      <c r="CN27" s="132"/>
      <c r="CO27" s="132"/>
      <c r="CP27" s="132"/>
      <c r="CQ27" s="132"/>
      <c r="CR27" s="132"/>
      <c r="CS27" s="132"/>
      <c r="CT27" s="139"/>
      <c r="CU27" s="132"/>
      <c r="CV27" s="132"/>
      <c r="CW27" s="132"/>
      <c r="CX27" s="132"/>
      <c r="CY27" s="132"/>
      <c r="CZ27" s="132"/>
      <c r="DA27" s="132"/>
      <c r="DB27" s="132"/>
      <c r="DC27" s="132"/>
      <c r="DD27" s="132"/>
      <c r="DE27" s="132"/>
      <c r="DF27" s="132"/>
      <c r="DG27" s="132"/>
      <c r="DH27" s="139"/>
      <c r="DI27" s="109"/>
      <c r="DJ27" s="109"/>
      <c r="DK27" s="133"/>
      <c r="DL27" s="109"/>
      <c r="DM27" s="132"/>
      <c r="DN27" s="132"/>
      <c r="DO27" s="132"/>
      <c r="DP27" s="132"/>
      <c r="DQ27" s="132"/>
      <c r="DR27" s="132"/>
      <c r="DS27" s="132"/>
      <c r="DT27" s="132"/>
      <c r="DU27" s="149"/>
      <c r="DV27" s="139"/>
      <c r="DW27" s="132"/>
      <c r="DX27" s="132"/>
      <c r="DY27" s="109"/>
      <c r="DZ27" s="133"/>
      <c r="EA27" s="109"/>
      <c r="EB27" s="133"/>
      <c r="EC27" s="132"/>
      <c r="ED27" s="132"/>
      <c r="EE27" s="132"/>
      <c r="EF27" s="132"/>
      <c r="EG27" s="132"/>
      <c r="EH27" s="132"/>
      <c r="EI27" s="132"/>
      <c r="EJ27" s="132"/>
      <c r="EK27" s="5">
        <f t="shared" si="0"/>
        <v>22</v>
      </c>
      <c r="EL27" s="5">
        <v>2</v>
      </c>
      <c r="EM27" s="5">
        <f t="shared" si="1"/>
        <v>24</v>
      </c>
      <c r="EN27" s="153">
        <v>5</v>
      </c>
      <c r="EO27" s="7">
        <f t="shared" si="2"/>
        <v>7</v>
      </c>
      <c r="EP27" s="40" t="str">
        <f t="shared" si="3"/>
        <v/>
      </c>
      <c r="EQ27" s="41" t="str">
        <f t="shared" si="4"/>
        <v/>
      </c>
      <c r="ET27" s="162" t="s">
        <v>170</v>
      </c>
    </row>
    <row r="28" spans="1:150" x14ac:dyDescent="0.25">
      <c r="A28" s="129" t="s">
        <v>182</v>
      </c>
      <c r="B28" s="129"/>
      <c r="C28" s="130">
        <v>22</v>
      </c>
      <c r="D28" s="177">
        <v>45834</v>
      </c>
      <c r="E28" s="175">
        <v>0</v>
      </c>
      <c r="F28" s="132"/>
      <c r="G28" s="132"/>
      <c r="H28" s="132"/>
      <c r="I28" s="132"/>
      <c r="J28" s="132">
        <v>1</v>
      </c>
      <c r="K28" s="132">
        <v>1</v>
      </c>
      <c r="L28" s="132">
        <v>1</v>
      </c>
      <c r="M28" s="132">
        <v>1</v>
      </c>
      <c r="N28" s="132">
        <v>1</v>
      </c>
      <c r="O28" s="132"/>
      <c r="P28" s="132">
        <v>1</v>
      </c>
      <c r="Q28" s="176" t="s">
        <v>37</v>
      </c>
      <c r="R28" s="175"/>
      <c r="S28" s="132"/>
      <c r="T28" s="132"/>
      <c r="U28" s="176"/>
      <c r="V28" s="175"/>
      <c r="W28" s="132">
        <v>1</v>
      </c>
      <c r="X28" s="132">
        <v>1</v>
      </c>
      <c r="Y28" s="132">
        <v>1</v>
      </c>
      <c r="Z28" s="132">
        <v>1</v>
      </c>
      <c r="AA28" s="132">
        <v>1</v>
      </c>
      <c r="AB28" s="132">
        <v>1</v>
      </c>
      <c r="AC28" s="132">
        <v>1</v>
      </c>
      <c r="AD28" s="132">
        <v>1</v>
      </c>
      <c r="AE28" s="132"/>
      <c r="AF28" s="132">
        <v>1</v>
      </c>
      <c r="AG28" s="132">
        <v>1</v>
      </c>
      <c r="AH28" s="176"/>
      <c r="AI28" s="174"/>
      <c r="AJ28" s="132"/>
      <c r="AK28" s="132"/>
      <c r="AL28" s="132"/>
      <c r="AM28" s="132"/>
      <c r="AN28" s="132"/>
      <c r="AO28" s="139"/>
      <c r="AP28" s="132"/>
      <c r="AQ28" s="132"/>
      <c r="AR28" s="132"/>
      <c r="AS28" s="132"/>
      <c r="AT28" s="132"/>
      <c r="AU28" s="132"/>
      <c r="AV28" s="132"/>
      <c r="AW28" s="132"/>
      <c r="AX28" s="132"/>
      <c r="AY28" s="139"/>
      <c r="AZ28" s="132"/>
      <c r="BA28" s="132"/>
      <c r="BB28" s="132"/>
      <c r="BC28" s="132"/>
      <c r="BD28" s="132"/>
      <c r="BE28" s="132"/>
      <c r="BF28" s="132"/>
      <c r="BG28" s="132"/>
      <c r="BH28" s="132"/>
      <c r="BI28" s="132"/>
      <c r="BJ28" s="139"/>
      <c r="BK28" s="132"/>
      <c r="BL28" s="132"/>
      <c r="BM28" s="132"/>
      <c r="BN28" s="132"/>
      <c r="BO28" s="132"/>
      <c r="BP28" s="132"/>
      <c r="BQ28" s="132"/>
      <c r="BR28" s="132"/>
      <c r="BS28" s="132"/>
      <c r="BT28" s="132"/>
      <c r="BU28" s="132"/>
      <c r="BV28" s="132"/>
      <c r="BW28" s="132"/>
      <c r="BX28" s="132"/>
      <c r="BY28" s="139"/>
      <c r="BZ28" s="132"/>
      <c r="CA28" s="132"/>
      <c r="CB28" s="132"/>
      <c r="CC28" s="132"/>
      <c r="CD28" s="132"/>
      <c r="CE28" s="132"/>
      <c r="CF28" s="132"/>
      <c r="CG28" s="132"/>
      <c r="CH28" s="132"/>
      <c r="CI28" s="132"/>
      <c r="CJ28" s="139"/>
      <c r="CK28" s="132"/>
      <c r="CL28" s="132"/>
      <c r="CM28" s="132"/>
      <c r="CN28" s="132"/>
      <c r="CO28" s="132"/>
      <c r="CP28" s="132"/>
      <c r="CQ28" s="132"/>
      <c r="CR28" s="132"/>
      <c r="CS28" s="132"/>
      <c r="CT28" s="139"/>
      <c r="CU28" s="132"/>
      <c r="CV28" s="132"/>
      <c r="CW28" s="132"/>
      <c r="CX28" s="132"/>
      <c r="CY28" s="132"/>
      <c r="CZ28" s="132"/>
      <c r="DA28" s="132"/>
      <c r="DB28" s="132"/>
      <c r="DC28" s="132"/>
      <c r="DD28" s="132"/>
      <c r="DE28" s="132"/>
      <c r="DF28" s="132"/>
      <c r="DG28" s="132"/>
      <c r="DH28" s="139"/>
      <c r="DI28" s="109"/>
      <c r="DJ28" s="109"/>
      <c r="DK28" s="133"/>
      <c r="DL28" s="109"/>
      <c r="DM28" s="132"/>
      <c r="DN28" s="132"/>
      <c r="DO28" s="132"/>
      <c r="DP28" s="132"/>
      <c r="DQ28" s="132"/>
      <c r="DR28" s="132"/>
      <c r="DS28" s="132"/>
      <c r="DT28" s="132"/>
      <c r="DU28" s="132"/>
      <c r="DV28" s="139"/>
      <c r="DW28" s="132"/>
      <c r="DX28" s="132"/>
      <c r="DY28" s="109"/>
      <c r="DZ28" s="133"/>
      <c r="EA28" s="109"/>
      <c r="EB28" s="133"/>
      <c r="EC28" s="132"/>
      <c r="ED28" s="132"/>
      <c r="EE28" s="132"/>
      <c r="EF28" s="132"/>
      <c r="EG28" s="132"/>
      <c r="EH28" s="132"/>
      <c r="EI28" s="132"/>
      <c r="EJ28" s="132"/>
      <c r="EK28" s="5">
        <f t="shared" ref="EK28:EK45" si="5">SUM(E28:EJ28)</f>
        <v>16</v>
      </c>
      <c r="EL28" s="5">
        <v>2</v>
      </c>
      <c r="EM28" s="5">
        <f t="shared" si="1"/>
        <v>24</v>
      </c>
      <c r="EN28" s="153">
        <v>0</v>
      </c>
      <c r="EO28" s="7">
        <f t="shared" si="2"/>
        <v>8</v>
      </c>
      <c r="EP28" s="40" t="str">
        <f t="shared" si="3"/>
        <v/>
      </c>
      <c r="EQ28" s="41" t="str">
        <f t="shared" si="4"/>
        <v/>
      </c>
      <c r="ET28" s="162" t="s">
        <v>182</v>
      </c>
    </row>
    <row r="29" spans="1:150" x14ac:dyDescent="0.25">
      <c r="A29" s="129" t="s">
        <v>187</v>
      </c>
      <c r="B29" s="129"/>
      <c r="C29" s="130">
        <v>23</v>
      </c>
      <c r="D29" s="177">
        <v>45844</v>
      </c>
      <c r="E29" s="175">
        <v>0</v>
      </c>
      <c r="F29" s="132"/>
      <c r="G29" s="132"/>
      <c r="H29" s="132"/>
      <c r="I29" s="132">
        <v>1</v>
      </c>
      <c r="J29" s="132">
        <v>1</v>
      </c>
      <c r="K29" s="132">
        <v>1</v>
      </c>
      <c r="L29" s="132">
        <v>1</v>
      </c>
      <c r="M29" s="132">
        <v>1</v>
      </c>
      <c r="N29" s="132"/>
      <c r="O29" s="132">
        <v>1</v>
      </c>
      <c r="P29" s="132">
        <v>1</v>
      </c>
      <c r="Q29" s="176" t="s">
        <v>37</v>
      </c>
      <c r="R29" s="175"/>
      <c r="S29" s="132"/>
      <c r="T29" s="132"/>
      <c r="U29" s="176"/>
      <c r="V29" s="175"/>
      <c r="W29" s="132">
        <v>1</v>
      </c>
      <c r="X29" s="132">
        <v>1</v>
      </c>
      <c r="Y29" s="132">
        <v>1</v>
      </c>
      <c r="Z29" s="132">
        <v>1</v>
      </c>
      <c r="AA29" s="132">
        <v>1</v>
      </c>
      <c r="AB29" s="132"/>
      <c r="AC29" s="132">
        <v>1</v>
      </c>
      <c r="AD29" s="132">
        <v>1</v>
      </c>
      <c r="AE29" s="132"/>
      <c r="AF29" s="132">
        <v>1</v>
      </c>
      <c r="AG29" s="132">
        <v>1</v>
      </c>
      <c r="AH29" s="176"/>
      <c r="AI29" s="174"/>
      <c r="AJ29" s="132"/>
      <c r="AK29" s="132"/>
      <c r="AL29" s="132"/>
      <c r="AM29" s="132"/>
      <c r="AN29" s="132"/>
      <c r="AO29" s="139"/>
      <c r="AP29" s="132"/>
      <c r="AQ29" s="132"/>
      <c r="AR29" s="132"/>
      <c r="AS29" s="132"/>
      <c r="AT29" s="132"/>
      <c r="AU29" s="132"/>
      <c r="AV29" s="132"/>
      <c r="AW29" s="132"/>
      <c r="AX29" s="132"/>
      <c r="AY29" s="139"/>
      <c r="AZ29" s="132"/>
      <c r="BA29" s="132"/>
      <c r="BB29" s="132"/>
      <c r="BC29" s="132"/>
      <c r="BD29" s="132"/>
      <c r="BE29" s="132"/>
      <c r="BF29" s="132"/>
      <c r="BG29" s="132"/>
      <c r="BH29" s="132"/>
      <c r="BI29" s="132"/>
      <c r="BJ29" s="139"/>
      <c r="BK29" s="132"/>
      <c r="BL29" s="132"/>
      <c r="BM29" s="132"/>
      <c r="BN29" s="132"/>
      <c r="BO29" s="132"/>
      <c r="BP29" s="132"/>
      <c r="BQ29" s="132"/>
      <c r="BR29" s="132"/>
      <c r="BS29" s="132"/>
      <c r="BT29" s="132"/>
      <c r="BU29" s="132"/>
      <c r="BV29" s="132"/>
      <c r="BW29" s="132"/>
      <c r="BX29" s="132"/>
      <c r="BY29" s="139"/>
      <c r="BZ29" s="132"/>
      <c r="CA29" s="132"/>
      <c r="CB29" s="132"/>
      <c r="CC29" s="132"/>
      <c r="CD29" s="132"/>
      <c r="CE29" s="132"/>
      <c r="CF29" s="132"/>
      <c r="CG29" s="132"/>
      <c r="CH29" s="132"/>
      <c r="CI29" s="132"/>
      <c r="CJ29" s="139"/>
      <c r="CK29" s="132"/>
      <c r="CL29" s="132"/>
      <c r="CM29" s="132"/>
      <c r="CN29" s="132"/>
      <c r="CO29" s="132"/>
      <c r="CP29" s="132"/>
      <c r="CQ29" s="132"/>
      <c r="CR29" s="132"/>
      <c r="CS29" s="132"/>
      <c r="CT29" s="139"/>
      <c r="CU29" s="132"/>
      <c r="CV29" s="132"/>
      <c r="CW29" s="132"/>
      <c r="CX29" s="132"/>
      <c r="CY29" s="132"/>
      <c r="CZ29" s="132"/>
      <c r="DA29" s="132"/>
      <c r="DB29" s="132"/>
      <c r="DC29" s="132"/>
      <c r="DD29" s="132"/>
      <c r="DE29" s="132"/>
      <c r="DF29" s="132"/>
      <c r="DG29" s="132"/>
      <c r="DH29" s="139"/>
      <c r="DI29" s="109"/>
      <c r="DJ29" s="109"/>
      <c r="DK29" s="133"/>
      <c r="DL29" s="109"/>
      <c r="DM29" s="132"/>
      <c r="DN29" s="132"/>
      <c r="DO29" s="132"/>
      <c r="DP29" s="132"/>
      <c r="DQ29" s="132"/>
      <c r="DR29" s="132"/>
      <c r="DS29" s="132"/>
      <c r="DT29" s="132"/>
      <c r="DU29" s="149"/>
      <c r="DV29" s="139"/>
      <c r="DW29" s="132"/>
      <c r="DX29" s="132"/>
      <c r="DY29" s="109"/>
      <c r="DZ29" s="133"/>
      <c r="EA29" s="109"/>
      <c r="EB29" s="133"/>
      <c r="EC29" s="132"/>
      <c r="ED29" s="132"/>
      <c r="EE29" s="132"/>
      <c r="EF29" s="132"/>
      <c r="EG29" s="132"/>
      <c r="EH29" s="132"/>
      <c r="EI29" s="132"/>
      <c r="EJ29" s="132"/>
      <c r="EK29" s="5">
        <f t="shared" si="5"/>
        <v>16</v>
      </c>
      <c r="EL29" s="5">
        <v>2</v>
      </c>
      <c r="EM29" s="5">
        <f t="shared" si="1"/>
        <v>24</v>
      </c>
      <c r="EN29" s="153">
        <v>2</v>
      </c>
      <c r="EO29" s="7">
        <f t="shared" si="2"/>
        <v>10</v>
      </c>
      <c r="EP29" s="40" t="str">
        <f t="shared" si="3"/>
        <v/>
      </c>
      <c r="EQ29" s="41" t="str">
        <f t="shared" si="4"/>
        <v/>
      </c>
      <c r="ET29" s="162" t="s">
        <v>187</v>
      </c>
    </row>
    <row r="30" spans="1:150" x14ac:dyDescent="0.25">
      <c r="A30" s="129" t="s">
        <v>254</v>
      </c>
      <c r="B30" s="129"/>
      <c r="C30" s="130">
        <v>24</v>
      </c>
      <c r="D30" s="177">
        <v>45911</v>
      </c>
      <c r="E30" s="175">
        <v>1</v>
      </c>
      <c r="F30" s="132">
        <v>1</v>
      </c>
      <c r="G30" s="132">
        <v>1</v>
      </c>
      <c r="H30" s="132">
        <v>1</v>
      </c>
      <c r="I30" s="132">
        <v>1</v>
      </c>
      <c r="J30" s="132">
        <v>1</v>
      </c>
      <c r="K30" s="132">
        <v>1</v>
      </c>
      <c r="L30" s="132">
        <v>1</v>
      </c>
      <c r="M30" s="132">
        <v>1</v>
      </c>
      <c r="N30" s="132">
        <v>1</v>
      </c>
      <c r="O30" s="132">
        <v>1</v>
      </c>
      <c r="P30" s="132">
        <v>1</v>
      </c>
      <c r="Q30" s="176" t="s">
        <v>37</v>
      </c>
      <c r="R30" s="175">
        <v>1</v>
      </c>
      <c r="S30" s="132">
        <v>1</v>
      </c>
      <c r="T30" s="132">
        <v>1</v>
      </c>
      <c r="U30" s="176"/>
      <c r="V30" s="175">
        <v>1</v>
      </c>
      <c r="W30" s="132">
        <v>1</v>
      </c>
      <c r="X30" s="132"/>
      <c r="Y30" s="132">
        <v>1</v>
      </c>
      <c r="Z30" s="132">
        <v>1</v>
      </c>
      <c r="AA30" s="132"/>
      <c r="AB30" s="132">
        <v>1</v>
      </c>
      <c r="AC30" s="132">
        <v>1</v>
      </c>
      <c r="AD30" s="132"/>
      <c r="AE30" s="132">
        <v>1</v>
      </c>
      <c r="AF30" s="132"/>
      <c r="AG30" s="132">
        <v>1</v>
      </c>
      <c r="AH30" s="176"/>
      <c r="AI30" s="174"/>
      <c r="AJ30" s="132"/>
      <c r="AK30" s="132"/>
      <c r="AL30" s="132"/>
      <c r="AM30" s="132"/>
      <c r="AN30" s="132"/>
      <c r="AO30" s="140"/>
      <c r="AP30" s="132"/>
      <c r="AQ30" s="132"/>
      <c r="AR30" s="132"/>
      <c r="AS30" s="132"/>
      <c r="AT30" s="132"/>
      <c r="AU30" s="132"/>
      <c r="AV30" s="132"/>
      <c r="AW30" s="132"/>
      <c r="AX30" s="132"/>
      <c r="AY30" s="140"/>
      <c r="AZ30" s="132"/>
      <c r="BA30" s="132"/>
      <c r="BB30" s="132"/>
      <c r="BC30" s="132"/>
      <c r="BD30" s="132"/>
      <c r="BE30" s="132"/>
      <c r="BF30" s="132"/>
      <c r="BG30" s="132"/>
      <c r="BH30" s="132"/>
      <c r="BI30" s="132"/>
      <c r="BJ30" s="140"/>
      <c r="BK30" s="132"/>
      <c r="BL30" s="132"/>
      <c r="BM30" s="132"/>
      <c r="BN30" s="132"/>
      <c r="BO30" s="132"/>
      <c r="BP30" s="132"/>
      <c r="BQ30" s="132"/>
      <c r="BR30" s="132"/>
      <c r="BS30" s="132"/>
      <c r="BT30" s="132"/>
      <c r="BU30" s="132"/>
      <c r="BV30" s="132"/>
      <c r="BW30" s="132"/>
      <c r="BX30" s="132"/>
      <c r="BY30" s="140"/>
      <c r="BZ30" s="132"/>
      <c r="CA30" s="132"/>
      <c r="CB30" s="132"/>
      <c r="CC30" s="132"/>
      <c r="CD30" s="132"/>
      <c r="CE30" s="132"/>
      <c r="CF30" s="132"/>
      <c r="CG30" s="132"/>
      <c r="CH30" s="132"/>
      <c r="CI30" s="132"/>
      <c r="CJ30" s="140"/>
      <c r="CK30" s="132"/>
      <c r="CL30" s="132"/>
      <c r="CM30" s="132"/>
      <c r="CN30" s="132"/>
      <c r="CO30" s="132"/>
      <c r="CP30" s="132"/>
      <c r="CQ30" s="132"/>
      <c r="CR30" s="132"/>
      <c r="CS30" s="132"/>
      <c r="CT30" s="140"/>
      <c r="CU30" s="132"/>
      <c r="CV30" s="132"/>
      <c r="CW30" s="132"/>
      <c r="CX30" s="132"/>
      <c r="CY30" s="132"/>
      <c r="CZ30" s="132"/>
      <c r="DA30" s="132"/>
      <c r="DB30" s="132"/>
      <c r="DC30" s="132"/>
      <c r="DD30" s="132"/>
      <c r="DE30" s="132"/>
      <c r="DF30" s="132"/>
      <c r="DG30" s="132"/>
      <c r="DH30" s="140"/>
      <c r="DI30" s="109"/>
      <c r="DJ30" s="109"/>
      <c r="DK30" s="133"/>
      <c r="DL30" s="109"/>
      <c r="DM30" s="132"/>
      <c r="DN30" s="132"/>
      <c r="DO30" s="132"/>
      <c r="DP30" s="132"/>
      <c r="DQ30" s="132"/>
      <c r="DR30" s="132"/>
      <c r="DS30" s="132"/>
      <c r="DT30" s="132"/>
      <c r="DU30" s="132"/>
      <c r="DV30" s="140"/>
      <c r="DW30" s="132"/>
      <c r="DX30" s="132"/>
      <c r="DY30" s="109"/>
      <c r="DZ30" s="133"/>
      <c r="EA30" s="109"/>
      <c r="EB30" s="133"/>
      <c r="EC30" s="132"/>
      <c r="ED30" s="132"/>
      <c r="EE30" s="132"/>
      <c r="EF30" s="132"/>
      <c r="EG30" s="132"/>
      <c r="EH30" s="132"/>
      <c r="EI30" s="132"/>
      <c r="EJ30" s="132"/>
      <c r="EK30" s="5">
        <f t="shared" si="5"/>
        <v>23</v>
      </c>
      <c r="EL30" s="5">
        <v>3</v>
      </c>
      <c r="EM30" s="5">
        <f t="shared" si="1"/>
        <v>36</v>
      </c>
      <c r="EN30" s="153">
        <v>0</v>
      </c>
      <c r="EO30" s="7">
        <f t="shared" si="2"/>
        <v>13</v>
      </c>
      <c r="EP30" s="40" t="str">
        <f t="shared" si="3"/>
        <v/>
      </c>
      <c r="EQ30" s="41" t="str">
        <f t="shared" si="4"/>
        <v/>
      </c>
      <c r="ET30" s="164" t="s">
        <v>254</v>
      </c>
    </row>
    <row r="31" spans="1:150" x14ac:dyDescent="0.25">
      <c r="A31" s="129" t="s">
        <v>264</v>
      </c>
      <c r="B31" s="129"/>
      <c r="C31" s="130">
        <v>25</v>
      </c>
      <c r="D31" s="177">
        <v>45914</v>
      </c>
      <c r="E31" s="175">
        <v>1</v>
      </c>
      <c r="F31" s="132">
        <v>1</v>
      </c>
      <c r="G31" s="132"/>
      <c r="H31" s="132"/>
      <c r="I31" s="132">
        <v>1</v>
      </c>
      <c r="J31" s="132">
        <v>1</v>
      </c>
      <c r="K31" s="132">
        <v>1</v>
      </c>
      <c r="L31" s="132"/>
      <c r="M31" s="132">
        <v>1</v>
      </c>
      <c r="N31" s="132">
        <v>1</v>
      </c>
      <c r="O31" s="132">
        <v>1</v>
      </c>
      <c r="P31" s="132">
        <v>1</v>
      </c>
      <c r="Q31" s="176" t="s">
        <v>37</v>
      </c>
      <c r="R31" s="175">
        <v>1</v>
      </c>
      <c r="S31" s="132"/>
      <c r="T31" s="132">
        <v>1</v>
      </c>
      <c r="U31" s="176">
        <v>1</v>
      </c>
      <c r="V31" s="175">
        <v>1</v>
      </c>
      <c r="W31" s="132"/>
      <c r="X31" s="132">
        <v>1</v>
      </c>
      <c r="Y31" s="132">
        <v>1</v>
      </c>
      <c r="Z31" s="132">
        <v>1</v>
      </c>
      <c r="AA31" s="132">
        <v>1</v>
      </c>
      <c r="AB31" s="132">
        <v>1</v>
      </c>
      <c r="AC31" s="132">
        <v>1</v>
      </c>
      <c r="AD31" s="132">
        <v>1</v>
      </c>
      <c r="AE31" s="132">
        <v>1</v>
      </c>
      <c r="AF31" s="132">
        <v>1</v>
      </c>
      <c r="AG31" s="132">
        <v>1</v>
      </c>
      <c r="AH31" s="176"/>
      <c r="AI31" s="174"/>
      <c r="AJ31" s="132"/>
      <c r="AK31" s="132"/>
      <c r="AL31" s="132"/>
      <c r="AM31" s="132"/>
      <c r="AN31" s="132"/>
      <c r="AO31" s="139"/>
      <c r="AP31" s="132"/>
      <c r="AQ31" s="132"/>
      <c r="AR31" s="132"/>
      <c r="AS31" s="132"/>
      <c r="AT31" s="132"/>
      <c r="AU31" s="132"/>
      <c r="AV31" s="132"/>
      <c r="AW31" s="132"/>
      <c r="AX31" s="132"/>
      <c r="AY31" s="139"/>
      <c r="AZ31" s="132"/>
      <c r="BA31" s="132"/>
      <c r="BB31" s="132"/>
      <c r="BC31" s="132"/>
      <c r="BD31" s="132"/>
      <c r="BE31" s="132"/>
      <c r="BF31" s="132"/>
      <c r="BG31" s="132"/>
      <c r="BH31" s="132"/>
      <c r="BI31" s="132"/>
      <c r="BJ31" s="139"/>
      <c r="BK31" s="132"/>
      <c r="BL31" s="132"/>
      <c r="BM31" s="132"/>
      <c r="BN31" s="132"/>
      <c r="BO31" s="132"/>
      <c r="BP31" s="132"/>
      <c r="BQ31" s="132"/>
      <c r="BR31" s="132"/>
      <c r="BS31" s="132"/>
      <c r="BT31" s="132"/>
      <c r="BU31" s="132"/>
      <c r="BV31" s="132"/>
      <c r="BW31" s="132"/>
      <c r="BX31" s="132"/>
      <c r="BY31" s="139"/>
      <c r="BZ31" s="132"/>
      <c r="CA31" s="132"/>
      <c r="CB31" s="132"/>
      <c r="CC31" s="132"/>
      <c r="CD31" s="132"/>
      <c r="CE31" s="132"/>
      <c r="CF31" s="132"/>
      <c r="CG31" s="132"/>
      <c r="CH31" s="132"/>
      <c r="CI31" s="132"/>
      <c r="CJ31" s="139"/>
      <c r="CK31" s="132"/>
      <c r="CL31" s="132"/>
      <c r="CM31" s="132"/>
      <c r="CN31" s="132"/>
      <c r="CO31" s="132"/>
      <c r="CP31" s="132"/>
      <c r="CQ31" s="132"/>
      <c r="CR31" s="132"/>
      <c r="CS31" s="132"/>
      <c r="CT31" s="139"/>
      <c r="CU31" s="132"/>
      <c r="CV31" s="132"/>
      <c r="CW31" s="132"/>
      <c r="CX31" s="132"/>
      <c r="CY31" s="132"/>
      <c r="CZ31" s="132"/>
      <c r="DA31" s="132"/>
      <c r="DB31" s="132"/>
      <c r="DC31" s="132"/>
      <c r="DD31" s="132"/>
      <c r="DE31" s="132"/>
      <c r="DF31" s="132"/>
      <c r="DG31" s="132"/>
      <c r="DH31" s="139"/>
      <c r="DI31" s="109"/>
      <c r="DJ31" s="109"/>
      <c r="DK31" s="133"/>
      <c r="DL31" s="109"/>
      <c r="DM31" s="132"/>
      <c r="DN31" s="132"/>
      <c r="DO31" s="132"/>
      <c r="DP31" s="132"/>
      <c r="DQ31" s="132"/>
      <c r="DR31" s="132"/>
      <c r="DS31" s="132"/>
      <c r="DT31" s="132"/>
      <c r="DU31" s="149"/>
      <c r="DV31" s="139"/>
      <c r="DW31" s="132"/>
      <c r="DX31" s="132"/>
      <c r="DY31" s="109"/>
      <c r="DZ31" s="133"/>
      <c r="EA31" s="109"/>
      <c r="EB31" s="133"/>
      <c r="EC31" s="132"/>
      <c r="ED31" s="132"/>
      <c r="EE31" s="132"/>
      <c r="EF31" s="132"/>
      <c r="EG31" s="132"/>
      <c r="EH31" s="132"/>
      <c r="EI31" s="132"/>
      <c r="EJ31" s="132"/>
      <c r="EK31" s="5">
        <f t="shared" si="5"/>
        <v>23</v>
      </c>
      <c r="EL31" s="5">
        <v>2</v>
      </c>
      <c r="EM31" s="5">
        <f t="shared" si="1"/>
        <v>24</v>
      </c>
      <c r="EN31" s="153">
        <v>4</v>
      </c>
      <c r="EO31" s="7">
        <f t="shared" si="2"/>
        <v>5</v>
      </c>
      <c r="EP31" s="40" t="str">
        <f t="shared" si="3"/>
        <v/>
      </c>
      <c r="EQ31" s="41" t="str">
        <f t="shared" ref="EQ31:EQ48" si="6">IF(EO31&gt;0, "", A31)</f>
        <v/>
      </c>
      <c r="ET31" s="162" t="s">
        <v>264</v>
      </c>
    </row>
    <row r="32" spans="1:150" x14ac:dyDescent="0.25">
      <c r="A32" s="129" t="s">
        <v>270</v>
      </c>
      <c r="B32" s="129"/>
      <c r="C32" s="130">
        <v>26</v>
      </c>
      <c r="D32" s="177">
        <v>45916</v>
      </c>
      <c r="E32" s="175">
        <v>0</v>
      </c>
      <c r="F32" s="132">
        <v>1</v>
      </c>
      <c r="G32" s="132"/>
      <c r="H32" s="132">
        <v>1</v>
      </c>
      <c r="I32" s="132">
        <v>1</v>
      </c>
      <c r="J32" s="132">
        <v>1</v>
      </c>
      <c r="K32" s="132">
        <v>1</v>
      </c>
      <c r="L32" s="132">
        <v>1</v>
      </c>
      <c r="M32" s="132">
        <v>1</v>
      </c>
      <c r="N32" s="132">
        <v>1</v>
      </c>
      <c r="O32" s="132">
        <v>1</v>
      </c>
      <c r="P32" s="132">
        <v>1</v>
      </c>
      <c r="Q32" s="176" t="s">
        <v>37</v>
      </c>
      <c r="R32" s="175">
        <v>1</v>
      </c>
      <c r="S32" s="132">
        <v>1</v>
      </c>
      <c r="T32" s="132">
        <v>1</v>
      </c>
      <c r="U32" s="176"/>
      <c r="V32" s="175">
        <v>1</v>
      </c>
      <c r="W32" s="132">
        <v>1</v>
      </c>
      <c r="X32" s="132">
        <v>1</v>
      </c>
      <c r="Y32" s="132"/>
      <c r="Z32" s="132">
        <v>1</v>
      </c>
      <c r="AA32" s="132">
        <v>1</v>
      </c>
      <c r="AB32" s="132">
        <v>1</v>
      </c>
      <c r="AC32" s="132">
        <v>1</v>
      </c>
      <c r="AD32" s="132"/>
      <c r="AE32" s="132">
        <v>1</v>
      </c>
      <c r="AF32" s="132">
        <v>1</v>
      </c>
      <c r="AG32" s="132">
        <v>1</v>
      </c>
      <c r="AH32" s="176"/>
      <c r="AI32" s="174"/>
      <c r="AJ32" s="132"/>
      <c r="AK32" s="132"/>
      <c r="AL32" s="132"/>
      <c r="AM32" s="132"/>
      <c r="AN32" s="132"/>
      <c r="AO32" s="139"/>
      <c r="AP32" s="132"/>
      <c r="AQ32" s="132"/>
      <c r="AR32" s="132"/>
      <c r="AS32" s="132"/>
      <c r="AT32" s="132"/>
      <c r="AU32" s="132"/>
      <c r="AV32" s="132"/>
      <c r="AW32" s="132"/>
      <c r="AX32" s="132"/>
      <c r="AY32" s="139"/>
      <c r="AZ32" s="132"/>
      <c r="BA32" s="132"/>
      <c r="BB32" s="132"/>
      <c r="BC32" s="132"/>
      <c r="BD32" s="132"/>
      <c r="BE32" s="132"/>
      <c r="BF32" s="132"/>
      <c r="BG32" s="132"/>
      <c r="BH32" s="132"/>
      <c r="BI32" s="132"/>
      <c r="BJ32" s="139"/>
      <c r="BK32" s="132"/>
      <c r="BL32" s="132"/>
      <c r="BM32" s="132"/>
      <c r="BN32" s="132"/>
      <c r="BO32" s="132"/>
      <c r="BP32" s="132"/>
      <c r="BQ32" s="132"/>
      <c r="BR32" s="132"/>
      <c r="BS32" s="132"/>
      <c r="BT32" s="132"/>
      <c r="BU32" s="132"/>
      <c r="BV32" s="132"/>
      <c r="BW32" s="132"/>
      <c r="BX32" s="132"/>
      <c r="BY32" s="139"/>
      <c r="BZ32" s="132"/>
      <c r="CA32" s="132"/>
      <c r="CB32" s="132"/>
      <c r="CC32" s="132"/>
      <c r="CD32" s="132"/>
      <c r="CE32" s="132"/>
      <c r="CF32" s="132"/>
      <c r="CG32" s="132"/>
      <c r="CH32" s="132"/>
      <c r="CI32" s="132"/>
      <c r="CJ32" s="139"/>
      <c r="CK32" s="132"/>
      <c r="CL32" s="132"/>
      <c r="CM32" s="132"/>
      <c r="CN32" s="132"/>
      <c r="CO32" s="132"/>
      <c r="CP32" s="132"/>
      <c r="CQ32" s="132"/>
      <c r="CR32" s="132"/>
      <c r="CS32" s="132"/>
      <c r="CT32" s="139"/>
      <c r="CU32" s="132"/>
      <c r="CV32" s="132"/>
      <c r="CW32" s="132"/>
      <c r="CX32" s="132"/>
      <c r="CY32" s="132"/>
      <c r="CZ32" s="132"/>
      <c r="DA32" s="132"/>
      <c r="DB32" s="132"/>
      <c r="DC32" s="132"/>
      <c r="DD32" s="132"/>
      <c r="DE32" s="132"/>
      <c r="DF32" s="132"/>
      <c r="DG32" s="132"/>
      <c r="DH32" s="139"/>
      <c r="DI32" s="109"/>
      <c r="DJ32" s="109"/>
      <c r="DK32" s="133"/>
      <c r="DL32" s="109"/>
      <c r="DM32" s="132"/>
      <c r="DN32" s="132"/>
      <c r="DO32" s="132"/>
      <c r="DP32" s="132"/>
      <c r="DQ32" s="132"/>
      <c r="DR32" s="132"/>
      <c r="DS32" s="132"/>
      <c r="DT32" s="132"/>
      <c r="DU32" s="132"/>
      <c r="DV32" s="139"/>
      <c r="DW32" s="132"/>
      <c r="DX32" s="132"/>
      <c r="DY32" s="109"/>
      <c r="DZ32" s="133"/>
      <c r="EA32" s="109"/>
      <c r="EB32" s="133"/>
      <c r="EC32" s="132"/>
      <c r="ED32" s="132"/>
      <c r="EE32" s="132"/>
      <c r="EF32" s="132"/>
      <c r="EG32" s="132"/>
      <c r="EH32" s="132"/>
      <c r="EI32" s="132"/>
      <c r="EJ32" s="132"/>
      <c r="EK32" s="5">
        <f t="shared" si="5"/>
        <v>23</v>
      </c>
      <c r="EL32" s="5">
        <v>2</v>
      </c>
      <c r="EM32" s="5">
        <f t="shared" si="1"/>
        <v>24</v>
      </c>
      <c r="EN32" s="153">
        <v>7</v>
      </c>
      <c r="EO32" s="7">
        <f t="shared" si="2"/>
        <v>8</v>
      </c>
      <c r="EP32" s="40" t="str">
        <f t="shared" si="3"/>
        <v/>
      </c>
      <c r="EQ32" s="41" t="str">
        <f t="shared" si="6"/>
        <v/>
      </c>
      <c r="ET32" s="162" t="s">
        <v>270</v>
      </c>
    </row>
    <row r="33" spans="1:150" x14ac:dyDescent="0.25">
      <c r="A33" s="129" t="s">
        <v>287</v>
      </c>
      <c r="B33" s="129"/>
      <c r="C33" s="130">
        <v>27</v>
      </c>
      <c r="D33" s="177"/>
      <c r="E33" s="175">
        <v>1</v>
      </c>
      <c r="F33" s="132">
        <v>1</v>
      </c>
      <c r="G33" s="132">
        <v>1</v>
      </c>
      <c r="H33" s="132">
        <v>1</v>
      </c>
      <c r="I33" s="132">
        <v>1</v>
      </c>
      <c r="J33" s="132">
        <v>1</v>
      </c>
      <c r="K33" s="132">
        <v>1</v>
      </c>
      <c r="L33" s="132"/>
      <c r="M33" s="132">
        <v>1</v>
      </c>
      <c r="N33" s="132">
        <v>1</v>
      </c>
      <c r="O33" s="132">
        <v>1</v>
      </c>
      <c r="P33" s="132">
        <v>1</v>
      </c>
      <c r="Q33" s="176" t="s">
        <v>37</v>
      </c>
      <c r="R33" s="175"/>
      <c r="S33" s="132">
        <v>1</v>
      </c>
      <c r="T33" s="132">
        <v>1</v>
      </c>
      <c r="U33" s="176">
        <v>1</v>
      </c>
      <c r="V33" s="175">
        <v>1</v>
      </c>
      <c r="W33" s="132">
        <v>1</v>
      </c>
      <c r="X33" s="132">
        <v>1</v>
      </c>
      <c r="Y33" s="132">
        <v>1</v>
      </c>
      <c r="Z33" s="132">
        <v>1</v>
      </c>
      <c r="AA33" s="132">
        <v>1</v>
      </c>
      <c r="AB33" s="132">
        <v>1</v>
      </c>
      <c r="AC33" s="132">
        <v>1</v>
      </c>
      <c r="AD33" s="132">
        <v>1</v>
      </c>
      <c r="AE33" s="132">
        <v>1</v>
      </c>
      <c r="AF33" s="132">
        <v>1</v>
      </c>
      <c r="AG33" s="132">
        <v>1</v>
      </c>
      <c r="AH33" s="176"/>
      <c r="AI33" s="174"/>
      <c r="AJ33" s="132"/>
      <c r="AK33" s="132"/>
      <c r="AL33" s="132"/>
      <c r="AM33" s="132"/>
      <c r="AN33" s="132"/>
      <c r="AO33" s="139"/>
      <c r="AP33" s="132"/>
      <c r="AQ33" s="132"/>
      <c r="AR33" s="132"/>
      <c r="AS33" s="132"/>
      <c r="AT33" s="132"/>
      <c r="AU33" s="132"/>
      <c r="AV33" s="132"/>
      <c r="AW33" s="132"/>
      <c r="AX33" s="132"/>
      <c r="AY33" s="139"/>
      <c r="AZ33" s="132"/>
      <c r="BA33" s="132"/>
      <c r="BB33" s="132"/>
      <c r="BC33" s="132"/>
      <c r="BD33" s="132"/>
      <c r="BE33" s="132"/>
      <c r="BF33" s="132"/>
      <c r="BG33" s="132"/>
      <c r="BH33" s="132"/>
      <c r="BI33" s="132"/>
      <c r="BJ33" s="139"/>
      <c r="BK33" s="132"/>
      <c r="BL33" s="132"/>
      <c r="BM33" s="132"/>
      <c r="BN33" s="132"/>
      <c r="BO33" s="132"/>
      <c r="BP33" s="132"/>
      <c r="BQ33" s="132"/>
      <c r="BR33" s="132"/>
      <c r="BS33" s="132"/>
      <c r="BT33" s="132"/>
      <c r="BU33" s="132"/>
      <c r="BV33" s="132"/>
      <c r="BW33" s="132"/>
      <c r="BX33" s="132"/>
      <c r="BY33" s="139"/>
      <c r="BZ33" s="132"/>
      <c r="CA33" s="132"/>
      <c r="CB33" s="132"/>
      <c r="CC33" s="132"/>
      <c r="CD33" s="132"/>
      <c r="CE33" s="132"/>
      <c r="CF33" s="132"/>
      <c r="CG33" s="132"/>
      <c r="CH33" s="132"/>
      <c r="CI33" s="132"/>
      <c r="CJ33" s="139"/>
      <c r="CK33" s="132"/>
      <c r="CL33" s="132"/>
      <c r="CM33" s="132"/>
      <c r="CN33" s="132"/>
      <c r="CO33" s="132"/>
      <c r="CP33" s="132"/>
      <c r="CQ33" s="132"/>
      <c r="CR33" s="132"/>
      <c r="CS33" s="132"/>
      <c r="CT33" s="139"/>
      <c r="CU33" s="132"/>
      <c r="CV33" s="132"/>
      <c r="CW33" s="132"/>
      <c r="CX33" s="132"/>
      <c r="CY33" s="132"/>
      <c r="CZ33" s="132"/>
      <c r="DA33" s="132"/>
      <c r="DB33" s="132"/>
      <c r="DC33" s="132"/>
      <c r="DD33" s="132"/>
      <c r="DE33" s="132"/>
      <c r="DF33" s="132"/>
      <c r="DG33" s="132"/>
      <c r="DH33" s="139"/>
      <c r="DI33" s="109"/>
      <c r="DJ33" s="109"/>
      <c r="DK33" s="133"/>
      <c r="DL33" s="109"/>
      <c r="DM33" s="132"/>
      <c r="DN33" s="132"/>
      <c r="DO33" s="132"/>
      <c r="DP33" s="132"/>
      <c r="DQ33" s="132"/>
      <c r="DR33" s="132"/>
      <c r="DS33" s="132"/>
      <c r="DT33" s="132"/>
      <c r="DU33" s="149"/>
      <c r="DV33" s="139"/>
      <c r="DW33" s="132"/>
      <c r="DX33" s="132"/>
      <c r="DY33" s="109"/>
      <c r="DZ33" s="133"/>
      <c r="EA33" s="109"/>
      <c r="EB33" s="133"/>
      <c r="EC33" s="132"/>
      <c r="ED33" s="132"/>
      <c r="EE33" s="132"/>
      <c r="EF33" s="132"/>
      <c r="EG33" s="132"/>
      <c r="EH33" s="132"/>
      <c r="EI33" s="132"/>
      <c r="EJ33" s="132"/>
      <c r="EK33" s="5">
        <f t="shared" si="5"/>
        <v>26</v>
      </c>
      <c r="EL33" s="5">
        <v>2</v>
      </c>
      <c r="EM33" s="5">
        <f t="shared" si="1"/>
        <v>24</v>
      </c>
      <c r="EN33" s="153">
        <v>-1</v>
      </c>
      <c r="EO33" s="7">
        <f t="shared" si="2"/>
        <v>-3</v>
      </c>
      <c r="EP33" s="40" t="str">
        <f t="shared" si="3"/>
        <v>NO</v>
      </c>
      <c r="EQ33" s="41" t="str">
        <f t="shared" si="6"/>
        <v>ذهب محمود</v>
      </c>
      <c r="ET33" s="162" t="s">
        <v>287</v>
      </c>
    </row>
    <row r="34" spans="1:150" x14ac:dyDescent="0.25">
      <c r="A34" s="129" t="s">
        <v>298</v>
      </c>
      <c r="B34" s="129"/>
      <c r="C34" s="130">
        <v>28</v>
      </c>
      <c r="D34" s="177"/>
      <c r="E34" s="175">
        <v>1</v>
      </c>
      <c r="F34" s="132">
        <v>1</v>
      </c>
      <c r="G34" s="132">
        <v>1</v>
      </c>
      <c r="H34" s="132">
        <v>1</v>
      </c>
      <c r="I34" s="132">
        <v>1</v>
      </c>
      <c r="J34" s="132">
        <v>1</v>
      </c>
      <c r="K34" s="132">
        <v>1</v>
      </c>
      <c r="L34" s="132">
        <v>1</v>
      </c>
      <c r="M34" s="132">
        <v>1</v>
      </c>
      <c r="N34" s="132">
        <v>1</v>
      </c>
      <c r="O34" s="132">
        <v>1</v>
      </c>
      <c r="P34" s="132"/>
      <c r="Q34" s="176" t="s">
        <v>37</v>
      </c>
      <c r="R34" s="175"/>
      <c r="S34" s="132"/>
      <c r="T34" s="132"/>
      <c r="U34" s="176"/>
      <c r="V34" s="175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76"/>
      <c r="AI34" s="174"/>
      <c r="AJ34" s="132"/>
      <c r="AK34" s="132"/>
      <c r="AL34" s="132"/>
      <c r="AM34" s="132"/>
      <c r="AN34" s="132"/>
      <c r="AO34" s="139"/>
      <c r="AP34" s="132"/>
      <c r="AQ34" s="132"/>
      <c r="AR34" s="132"/>
      <c r="AS34" s="132"/>
      <c r="AT34" s="132"/>
      <c r="AU34" s="132"/>
      <c r="AV34" s="132"/>
      <c r="AW34" s="132"/>
      <c r="AX34" s="132"/>
      <c r="AY34" s="139"/>
      <c r="AZ34" s="132"/>
      <c r="BA34" s="132"/>
      <c r="BB34" s="132"/>
      <c r="BC34" s="132"/>
      <c r="BD34" s="132"/>
      <c r="BE34" s="132"/>
      <c r="BF34" s="132"/>
      <c r="BG34" s="132"/>
      <c r="BH34" s="132"/>
      <c r="BI34" s="132"/>
      <c r="BJ34" s="139"/>
      <c r="BK34" s="132"/>
      <c r="BL34" s="132"/>
      <c r="BM34" s="132"/>
      <c r="BN34" s="132"/>
      <c r="BO34" s="132"/>
      <c r="BP34" s="132"/>
      <c r="BQ34" s="132"/>
      <c r="BR34" s="132"/>
      <c r="BS34" s="132"/>
      <c r="BT34" s="132"/>
      <c r="BU34" s="132"/>
      <c r="BV34" s="132"/>
      <c r="BW34" s="132"/>
      <c r="BX34" s="132"/>
      <c r="BY34" s="139"/>
      <c r="BZ34" s="132"/>
      <c r="CA34" s="132"/>
      <c r="CB34" s="132"/>
      <c r="CC34" s="132"/>
      <c r="CD34" s="132"/>
      <c r="CE34" s="132"/>
      <c r="CF34" s="132"/>
      <c r="CG34" s="132"/>
      <c r="CH34" s="132"/>
      <c r="CI34" s="132"/>
      <c r="CJ34" s="139"/>
      <c r="CK34" s="132"/>
      <c r="CL34" s="132"/>
      <c r="CM34" s="132"/>
      <c r="CN34" s="132"/>
      <c r="CO34" s="132"/>
      <c r="CP34" s="132"/>
      <c r="CQ34" s="132"/>
      <c r="CR34" s="132"/>
      <c r="CS34" s="132"/>
      <c r="CT34" s="139"/>
      <c r="CU34" s="132"/>
      <c r="CV34" s="132"/>
      <c r="CW34" s="132"/>
      <c r="CX34" s="132"/>
      <c r="CY34" s="132"/>
      <c r="CZ34" s="132"/>
      <c r="DA34" s="132"/>
      <c r="DB34" s="132"/>
      <c r="DC34" s="132"/>
      <c r="DD34" s="132"/>
      <c r="DE34" s="132"/>
      <c r="DF34" s="132"/>
      <c r="DG34" s="132"/>
      <c r="DH34" s="139"/>
      <c r="DI34" s="109"/>
      <c r="DJ34" s="109"/>
      <c r="DK34" s="133"/>
      <c r="DL34" s="109"/>
      <c r="DM34" s="132"/>
      <c r="DN34" s="132"/>
      <c r="DO34" s="132"/>
      <c r="DP34" s="132"/>
      <c r="DQ34" s="132"/>
      <c r="DR34" s="132"/>
      <c r="DS34" s="132"/>
      <c r="DT34" s="132"/>
      <c r="DU34" s="132"/>
      <c r="DV34" s="139"/>
      <c r="DW34" s="132"/>
      <c r="DX34" s="132"/>
      <c r="DY34" s="109"/>
      <c r="DZ34" s="133"/>
      <c r="EA34" s="109"/>
      <c r="EB34" s="133"/>
      <c r="EC34" s="132"/>
      <c r="ED34" s="132"/>
      <c r="EE34" s="132"/>
      <c r="EF34" s="132"/>
      <c r="EG34" s="132"/>
      <c r="EH34" s="132"/>
      <c r="EI34" s="132"/>
      <c r="EJ34" s="132"/>
      <c r="EK34" s="5">
        <f t="shared" si="5"/>
        <v>11</v>
      </c>
      <c r="EL34" s="5">
        <v>0</v>
      </c>
      <c r="EM34" s="5">
        <f t="shared" si="1"/>
        <v>0</v>
      </c>
      <c r="EN34" s="153">
        <v>-4</v>
      </c>
      <c r="EO34" s="7">
        <f t="shared" si="2"/>
        <v>-15</v>
      </c>
      <c r="EP34" s="40" t="str">
        <f t="shared" si="3"/>
        <v>NO</v>
      </c>
      <c r="EQ34" s="41" t="str">
        <f t="shared" si="6"/>
        <v>طاهر ايمان</v>
      </c>
      <c r="ET34" s="164" t="s">
        <v>298</v>
      </c>
    </row>
    <row r="35" spans="1:150" x14ac:dyDescent="0.25">
      <c r="A35" s="129" t="s">
        <v>315</v>
      </c>
      <c r="B35" s="129"/>
      <c r="C35" s="130">
        <v>29</v>
      </c>
      <c r="D35" s="177"/>
      <c r="E35" s="175">
        <v>1</v>
      </c>
      <c r="F35" s="132">
        <v>1</v>
      </c>
      <c r="G35" s="132">
        <v>1</v>
      </c>
      <c r="H35" s="132">
        <v>1</v>
      </c>
      <c r="I35" s="132">
        <v>1</v>
      </c>
      <c r="J35" s="132">
        <v>1</v>
      </c>
      <c r="K35" s="132">
        <v>1</v>
      </c>
      <c r="L35" s="132">
        <v>1</v>
      </c>
      <c r="M35" s="132">
        <v>1</v>
      </c>
      <c r="N35" s="132">
        <v>1</v>
      </c>
      <c r="O35" s="132">
        <v>1</v>
      </c>
      <c r="P35" s="132">
        <v>1</v>
      </c>
      <c r="Q35" s="176" t="s">
        <v>37</v>
      </c>
      <c r="R35" s="175">
        <v>1</v>
      </c>
      <c r="S35" s="132">
        <v>1</v>
      </c>
      <c r="T35" s="132"/>
      <c r="U35" s="176"/>
      <c r="V35" s="175"/>
      <c r="W35" s="132">
        <v>1</v>
      </c>
      <c r="X35" s="132">
        <v>1</v>
      </c>
      <c r="Y35" s="132">
        <v>1</v>
      </c>
      <c r="Z35" s="132">
        <v>1</v>
      </c>
      <c r="AA35" s="132"/>
      <c r="AB35" s="132"/>
      <c r="AC35" s="132">
        <v>1</v>
      </c>
      <c r="AD35" s="132">
        <v>1</v>
      </c>
      <c r="AE35" s="132">
        <v>1</v>
      </c>
      <c r="AF35" s="132">
        <v>1</v>
      </c>
      <c r="AG35" s="132">
        <v>1</v>
      </c>
      <c r="AH35" s="176"/>
      <c r="AI35" s="174"/>
      <c r="AJ35" s="132"/>
      <c r="AK35" s="132"/>
      <c r="AL35" s="132"/>
      <c r="AM35" s="132"/>
      <c r="AN35" s="132"/>
      <c r="AO35" s="139"/>
      <c r="AP35" s="132"/>
      <c r="AQ35" s="132"/>
      <c r="AR35" s="132"/>
      <c r="AS35" s="132"/>
      <c r="AT35" s="132"/>
      <c r="AU35" s="132"/>
      <c r="AV35" s="132"/>
      <c r="AW35" s="132"/>
      <c r="AX35" s="132"/>
      <c r="AY35" s="139"/>
      <c r="AZ35" s="132"/>
      <c r="BA35" s="132"/>
      <c r="BB35" s="132"/>
      <c r="BC35" s="132"/>
      <c r="BD35" s="132"/>
      <c r="BE35" s="132"/>
      <c r="BF35" s="132"/>
      <c r="BG35" s="132"/>
      <c r="BH35" s="132"/>
      <c r="BI35" s="132"/>
      <c r="BJ35" s="139"/>
      <c r="BK35" s="132"/>
      <c r="BL35" s="132"/>
      <c r="BM35" s="132"/>
      <c r="BN35" s="132"/>
      <c r="BO35" s="132"/>
      <c r="BP35" s="132"/>
      <c r="BQ35" s="132"/>
      <c r="BR35" s="132"/>
      <c r="BS35" s="132"/>
      <c r="BT35" s="132"/>
      <c r="BU35" s="132"/>
      <c r="BV35" s="132"/>
      <c r="BW35" s="132"/>
      <c r="BX35" s="132"/>
      <c r="BY35" s="139"/>
      <c r="BZ35" s="132"/>
      <c r="CA35" s="132"/>
      <c r="CB35" s="132"/>
      <c r="CC35" s="132"/>
      <c r="CD35" s="132"/>
      <c r="CE35" s="132"/>
      <c r="CF35" s="132"/>
      <c r="CG35" s="132"/>
      <c r="CH35" s="132"/>
      <c r="CI35" s="132"/>
      <c r="CJ35" s="139"/>
      <c r="CK35" s="132"/>
      <c r="CL35" s="132"/>
      <c r="CM35" s="132"/>
      <c r="CN35" s="132"/>
      <c r="CO35" s="132"/>
      <c r="CP35" s="132"/>
      <c r="CQ35" s="132"/>
      <c r="CR35" s="132"/>
      <c r="CS35" s="132"/>
      <c r="CT35" s="139"/>
      <c r="CU35" s="132"/>
      <c r="CV35" s="132"/>
      <c r="CW35" s="132"/>
      <c r="CX35" s="132"/>
      <c r="CY35" s="132"/>
      <c r="CZ35" s="132"/>
      <c r="DA35" s="132"/>
      <c r="DB35" s="132"/>
      <c r="DC35" s="132"/>
      <c r="DD35" s="132"/>
      <c r="DE35" s="132"/>
      <c r="DF35" s="132"/>
      <c r="DG35" s="132"/>
      <c r="DH35" s="139"/>
      <c r="DI35" s="109"/>
      <c r="DJ35" s="109"/>
      <c r="DK35" s="133"/>
      <c r="DL35" s="109"/>
      <c r="DM35" s="132"/>
      <c r="DN35" s="132"/>
      <c r="DO35" s="132"/>
      <c r="DP35" s="132"/>
      <c r="DQ35" s="132"/>
      <c r="DR35" s="132"/>
      <c r="DS35" s="132"/>
      <c r="DT35" s="132"/>
      <c r="DU35" s="149"/>
      <c r="DV35" s="139"/>
      <c r="DW35" s="132"/>
      <c r="DX35" s="132"/>
      <c r="DY35" s="109"/>
      <c r="DZ35" s="133"/>
      <c r="EA35" s="109"/>
      <c r="EB35" s="133"/>
      <c r="EC35" s="132"/>
      <c r="ED35" s="132"/>
      <c r="EE35" s="132"/>
      <c r="EF35" s="132"/>
      <c r="EG35" s="132"/>
      <c r="EH35" s="132"/>
      <c r="EI35" s="132"/>
      <c r="EJ35" s="132"/>
      <c r="EK35" s="5">
        <f t="shared" si="5"/>
        <v>23</v>
      </c>
      <c r="EL35" s="5">
        <v>2</v>
      </c>
      <c r="EM35" s="5">
        <f t="shared" si="1"/>
        <v>24</v>
      </c>
      <c r="EN35" s="153">
        <v>6</v>
      </c>
      <c r="EO35" s="7">
        <f t="shared" si="2"/>
        <v>7</v>
      </c>
      <c r="EP35" s="40" t="str">
        <f t="shared" si="3"/>
        <v/>
      </c>
      <c r="EQ35" s="41" t="str">
        <f t="shared" si="6"/>
        <v/>
      </c>
      <c r="ET35" s="164" t="s">
        <v>315</v>
      </c>
    </row>
    <row r="36" spans="1:150" x14ac:dyDescent="0.25">
      <c r="A36" s="129" t="s">
        <v>316</v>
      </c>
      <c r="B36" s="129"/>
      <c r="C36" s="130">
        <v>30</v>
      </c>
      <c r="D36" s="177"/>
      <c r="E36" s="175">
        <v>1</v>
      </c>
      <c r="F36" s="132">
        <v>1</v>
      </c>
      <c r="G36" s="132">
        <v>1</v>
      </c>
      <c r="H36" s="132">
        <v>1</v>
      </c>
      <c r="I36" s="132">
        <v>1</v>
      </c>
      <c r="J36" s="132">
        <v>1</v>
      </c>
      <c r="K36" s="132">
        <v>1</v>
      </c>
      <c r="L36" s="132">
        <v>1</v>
      </c>
      <c r="M36" s="132">
        <v>1</v>
      </c>
      <c r="N36" s="132">
        <v>1</v>
      </c>
      <c r="O36" s="132">
        <v>1</v>
      </c>
      <c r="P36" s="132">
        <v>1</v>
      </c>
      <c r="Q36" s="176" t="s">
        <v>37</v>
      </c>
      <c r="R36" s="175">
        <v>1</v>
      </c>
      <c r="S36" s="132">
        <v>1</v>
      </c>
      <c r="T36" s="132"/>
      <c r="U36" s="176"/>
      <c r="V36" s="175"/>
      <c r="W36" s="132">
        <v>1</v>
      </c>
      <c r="X36" s="132">
        <v>1</v>
      </c>
      <c r="Y36" s="132">
        <v>1</v>
      </c>
      <c r="Z36" s="132">
        <v>1</v>
      </c>
      <c r="AA36" s="132"/>
      <c r="AB36" s="132"/>
      <c r="AC36" s="132">
        <v>1</v>
      </c>
      <c r="AD36" s="132">
        <v>1</v>
      </c>
      <c r="AE36" s="132">
        <v>1</v>
      </c>
      <c r="AF36" s="132">
        <v>1</v>
      </c>
      <c r="AG36" s="132">
        <v>1</v>
      </c>
      <c r="AH36" s="176"/>
      <c r="AI36" s="174"/>
      <c r="AJ36" s="132"/>
      <c r="AK36" s="132"/>
      <c r="AL36" s="132"/>
      <c r="AM36" s="132"/>
      <c r="AN36" s="132"/>
      <c r="AO36" s="139"/>
      <c r="AP36" s="132"/>
      <c r="AQ36" s="132"/>
      <c r="AR36" s="132"/>
      <c r="AS36" s="132"/>
      <c r="AT36" s="132"/>
      <c r="AU36" s="132"/>
      <c r="AV36" s="132"/>
      <c r="AW36" s="132"/>
      <c r="AX36" s="132"/>
      <c r="AY36" s="139"/>
      <c r="AZ36" s="132"/>
      <c r="BA36" s="132"/>
      <c r="BB36" s="132"/>
      <c r="BC36" s="132"/>
      <c r="BD36" s="132"/>
      <c r="BE36" s="132"/>
      <c r="BF36" s="132"/>
      <c r="BG36" s="132"/>
      <c r="BH36" s="132"/>
      <c r="BI36" s="132"/>
      <c r="BJ36" s="139"/>
      <c r="BK36" s="132"/>
      <c r="BL36" s="132"/>
      <c r="BM36" s="132"/>
      <c r="BN36" s="132"/>
      <c r="BO36" s="132"/>
      <c r="BP36" s="132"/>
      <c r="BQ36" s="132"/>
      <c r="BR36" s="132"/>
      <c r="BS36" s="132"/>
      <c r="BT36" s="132"/>
      <c r="BU36" s="132"/>
      <c r="BV36" s="132"/>
      <c r="BW36" s="132"/>
      <c r="BX36" s="132"/>
      <c r="BY36" s="139"/>
      <c r="BZ36" s="132"/>
      <c r="CA36" s="132"/>
      <c r="CB36" s="132"/>
      <c r="CC36" s="132"/>
      <c r="CD36" s="132"/>
      <c r="CE36" s="132"/>
      <c r="CF36" s="132"/>
      <c r="CG36" s="132"/>
      <c r="CH36" s="132"/>
      <c r="CI36" s="132"/>
      <c r="CJ36" s="139"/>
      <c r="CK36" s="132"/>
      <c r="CL36" s="132"/>
      <c r="CM36" s="132"/>
      <c r="CN36" s="132"/>
      <c r="CO36" s="132"/>
      <c r="CP36" s="132"/>
      <c r="CQ36" s="132"/>
      <c r="CR36" s="132"/>
      <c r="CS36" s="132"/>
      <c r="CT36" s="139"/>
      <c r="CU36" s="132"/>
      <c r="CV36" s="132"/>
      <c r="CW36" s="132"/>
      <c r="CX36" s="132"/>
      <c r="CY36" s="132"/>
      <c r="CZ36" s="132"/>
      <c r="DA36" s="132"/>
      <c r="DB36" s="132"/>
      <c r="DC36" s="132"/>
      <c r="DD36" s="132"/>
      <c r="DE36" s="132"/>
      <c r="DF36" s="132"/>
      <c r="DG36" s="132"/>
      <c r="DH36" s="139"/>
      <c r="DI36" s="109"/>
      <c r="DJ36" s="109"/>
      <c r="DK36" s="133"/>
      <c r="DL36" s="109"/>
      <c r="DM36" s="132"/>
      <c r="DN36" s="132"/>
      <c r="DO36" s="132"/>
      <c r="DP36" s="132"/>
      <c r="DQ36" s="132"/>
      <c r="DR36" s="132"/>
      <c r="DS36" s="132"/>
      <c r="DT36" s="132"/>
      <c r="DU36" s="149"/>
      <c r="DV36" s="139"/>
      <c r="DW36" s="132"/>
      <c r="DX36" s="132"/>
      <c r="DY36" s="109"/>
      <c r="DZ36" s="133"/>
      <c r="EA36" s="109"/>
      <c r="EB36" s="133"/>
      <c r="EC36" s="132"/>
      <c r="ED36" s="132"/>
      <c r="EE36" s="132"/>
      <c r="EF36" s="132"/>
      <c r="EG36" s="132"/>
      <c r="EH36" s="132"/>
      <c r="EI36" s="132"/>
      <c r="EJ36" s="132"/>
      <c r="EK36" s="5">
        <f t="shared" si="5"/>
        <v>23</v>
      </c>
      <c r="EL36" s="5">
        <v>2</v>
      </c>
      <c r="EM36" s="5">
        <f t="shared" si="1"/>
        <v>24</v>
      </c>
      <c r="EN36" s="153">
        <v>7</v>
      </c>
      <c r="EO36" s="7">
        <f t="shared" si="2"/>
        <v>8</v>
      </c>
      <c r="EP36" s="40" t="str">
        <f t="shared" si="3"/>
        <v/>
      </c>
      <c r="EQ36" s="41" t="str">
        <f t="shared" si="6"/>
        <v/>
      </c>
      <c r="ET36" s="162" t="s">
        <v>316</v>
      </c>
    </row>
    <row r="37" spans="1:150" x14ac:dyDescent="0.25">
      <c r="A37" s="129" t="s">
        <v>323</v>
      </c>
      <c r="B37" s="129"/>
      <c r="C37" s="130">
        <v>31</v>
      </c>
      <c r="D37" s="177"/>
      <c r="E37" s="175">
        <v>1</v>
      </c>
      <c r="F37" s="132">
        <v>1</v>
      </c>
      <c r="G37" s="132"/>
      <c r="H37" s="132"/>
      <c r="I37" s="132">
        <v>1</v>
      </c>
      <c r="J37" s="132">
        <v>1</v>
      </c>
      <c r="K37" s="132">
        <v>1</v>
      </c>
      <c r="L37" s="132">
        <v>1</v>
      </c>
      <c r="M37" s="132">
        <v>1</v>
      </c>
      <c r="N37" s="132">
        <v>1</v>
      </c>
      <c r="O37" s="132">
        <v>1</v>
      </c>
      <c r="P37" s="132"/>
      <c r="Q37" s="176" t="s">
        <v>37</v>
      </c>
      <c r="R37" s="175">
        <v>1</v>
      </c>
      <c r="S37" s="132"/>
      <c r="T37" s="132">
        <v>1</v>
      </c>
      <c r="U37" s="176"/>
      <c r="V37" s="175">
        <v>1</v>
      </c>
      <c r="W37" s="132"/>
      <c r="X37" s="132"/>
      <c r="Y37" s="132">
        <v>1</v>
      </c>
      <c r="Z37" s="132">
        <v>1</v>
      </c>
      <c r="AA37" s="132"/>
      <c r="AB37" s="132">
        <v>1</v>
      </c>
      <c r="AC37" s="132">
        <v>1</v>
      </c>
      <c r="AD37" s="132"/>
      <c r="AE37" s="132">
        <v>1</v>
      </c>
      <c r="AF37" s="132">
        <v>1</v>
      </c>
      <c r="AG37" s="132"/>
      <c r="AH37" s="176"/>
      <c r="AI37" s="174"/>
      <c r="AJ37" s="132"/>
      <c r="AK37" s="132"/>
      <c r="AL37" s="132"/>
      <c r="AM37" s="132"/>
      <c r="AN37" s="132"/>
      <c r="AO37" s="139"/>
      <c r="AP37" s="132"/>
      <c r="AQ37" s="132"/>
      <c r="AR37" s="132"/>
      <c r="AS37" s="132"/>
      <c r="AT37" s="132"/>
      <c r="AU37" s="132"/>
      <c r="AV37" s="132"/>
      <c r="AW37" s="132"/>
      <c r="AX37" s="132"/>
      <c r="AY37" s="139"/>
      <c r="AZ37" s="132"/>
      <c r="BA37" s="132"/>
      <c r="BB37" s="132"/>
      <c r="BC37" s="132"/>
      <c r="BD37" s="132"/>
      <c r="BE37" s="132"/>
      <c r="BF37" s="132"/>
      <c r="BG37" s="132"/>
      <c r="BH37" s="132"/>
      <c r="BI37" s="132"/>
      <c r="BJ37" s="139"/>
      <c r="BK37" s="132"/>
      <c r="BL37" s="132"/>
      <c r="BM37" s="132"/>
      <c r="BN37" s="132"/>
      <c r="BO37" s="132"/>
      <c r="BP37" s="132"/>
      <c r="BQ37" s="132"/>
      <c r="BR37" s="132"/>
      <c r="BS37" s="132"/>
      <c r="BT37" s="132"/>
      <c r="BU37" s="132"/>
      <c r="BV37" s="132"/>
      <c r="BW37" s="132"/>
      <c r="BX37" s="132"/>
      <c r="BY37" s="139"/>
      <c r="BZ37" s="132"/>
      <c r="CA37" s="132"/>
      <c r="CB37" s="132"/>
      <c r="CC37" s="132"/>
      <c r="CD37" s="132"/>
      <c r="CE37" s="132"/>
      <c r="CF37" s="132"/>
      <c r="CG37" s="132"/>
      <c r="CH37" s="132"/>
      <c r="CI37" s="132"/>
      <c r="CJ37" s="139"/>
      <c r="CK37" s="132"/>
      <c r="CL37" s="132"/>
      <c r="CM37" s="132"/>
      <c r="CN37" s="132"/>
      <c r="CO37" s="132"/>
      <c r="CP37" s="132"/>
      <c r="CQ37" s="132"/>
      <c r="CR37" s="132"/>
      <c r="CS37" s="132"/>
      <c r="CT37" s="139"/>
      <c r="CU37" s="132"/>
      <c r="CV37" s="132"/>
      <c r="CW37" s="132"/>
      <c r="CX37" s="132"/>
      <c r="CY37" s="132"/>
      <c r="CZ37" s="132"/>
      <c r="DA37" s="132"/>
      <c r="DB37" s="132"/>
      <c r="DC37" s="132"/>
      <c r="DD37" s="132"/>
      <c r="DE37" s="132"/>
      <c r="DF37" s="132"/>
      <c r="DG37" s="132"/>
      <c r="DH37" s="139"/>
      <c r="DI37" s="109"/>
      <c r="DJ37" s="109"/>
      <c r="DK37" s="133"/>
      <c r="DL37" s="109"/>
      <c r="DM37" s="132"/>
      <c r="DN37" s="132"/>
      <c r="DO37" s="132"/>
      <c r="DP37" s="132"/>
      <c r="DQ37" s="132"/>
      <c r="DR37" s="132"/>
      <c r="DS37" s="132"/>
      <c r="DT37" s="132"/>
      <c r="DU37" s="149"/>
      <c r="DV37" s="139"/>
      <c r="DW37" s="132"/>
      <c r="DX37" s="132"/>
      <c r="DY37" s="109"/>
      <c r="DZ37" s="133"/>
      <c r="EA37" s="109"/>
      <c r="EB37" s="133"/>
      <c r="EC37" s="132"/>
      <c r="ED37" s="132"/>
      <c r="EE37" s="132"/>
      <c r="EF37" s="132"/>
      <c r="EG37" s="132"/>
      <c r="EH37" s="132"/>
      <c r="EI37" s="132"/>
      <c r="EJ37" s="132"/>
      <c r="EK37" s="5">
        <f t="shared" si="5"/>
        <v>18</v>
      </c>
      <c r="EL37" s="5">
        <v>2</v>
      </c>
      <c r="EM37" s="5">
        <f t="shared" si="1"/>
        <v>24</v>
      </c>
      <c r="EN37" s="153">
        <v>2</v>
      </c>
      <c r="EO37" s="7">
        <f t="shared" si="2"/>
        <v>8</v>
      </c>
      <c r="EP37" s="40" t="str">
        <f t="shared" si="3"/>
        <v/>
      </c>
      <c r="EQ37" s="41" t="str">
        <f t="shared" si="6"/>
        <v/>
      </c>
      <c r="ET37" s="162" t="s">
        <v>323</v>
      </c>
    </row>
    <row r="38" spans="1:150" x14ac:dyDescent="0.25">
      <c r="A38" s="129" t="s">
        <v>325</v>
      </c>
      <c r="B38" s="129"/>
      <c r="C38" s="130">
        <v>32</v>
      </c>
      <c r="D38" s="177"/>
      <c r="E38" s="175">
        <v>0</v>
      </c>
      <c r="F38" s="132">
        <v>1</v>
      </c>
      <c r="G38" s="132">
        <v>1</v>
      </c>
      <c r="H38" s="132">
        <v>1</v>
      </c>
      <c r="I38" s="132">
        <v>1</v>
      </c>
      <c r="J38" s="132">
        <v>1</v>
      </c>
      <c r="K38" s="132">
        <v>1</v>
      </c>
      <c r="L38" s="132">
        <v>1</v>
      </c>
      <c r="M38" s="132">
        <v>1</v>
      </c>
      <c r="N38" s="132">
        <v>1</v>
      </c>
      <c r="O38" s="132"/>
      <c r="P38" s="132">
        <v>1</v>
      </c>
      <c r="Q38" s="176" t="s">
        <v>37</v>
      </c>
      <c r="R38" s="175"/>
      <c r="S38" s="132"/>
      <c r="T38" s="132">
        <v>1</v>
      </c>
      <c r="U38" s="176">
        <v>1</v>
      </c>
      <c r="V38" s="175">
        <v>1</v>
      </c>
      <c r="W38" s="132">
        <v>1</v>
      </c>
      <c r="X38" s="132">
        <v>1</v>
      </c>
      <c r="Y38" s="132">
        <v>1</v>
      </c>
      <c r="Z38" s="132">
        <v>1</v>
      </c>
      <c r="AA38" s="132">
        <v>1</v>
      </c>
      <c r="AB38" s="132"/>
      <c r="AC38" s="132">
        <v>1</v>
      </c>
      <c r="AD38" s="132">
        <v>1</v>
      </c>
      <c r="AE38" s="132">
        <v>1</v>
      </c>
      <c r="AF38" s="132">
        <v>1</v>
      </c>
      <c r="AG38" s="132">
        <v>1</v>
      </c>
      <c r="AH38" s="176"/>
      <c r="AI38" s="174"/>
      <c r="AJ38" s="132"/>
      <c r="AK38" s="132"/>
      <c r="AL38" s="132"/>
      <c r="AM38" s="132"/>
      <c r="AN38" s="132"/>
      <c r="AO38" s="139"/>
      <c r="AP38" s="132"/>
      <c r="AQ38" s="132"/>
      <c r="AR38" s="132"/>
      <c r="AS38" s="132"/>
      <c r="AT38" s="132"/>
      <c r="AU38" s="132"/>
      <c r="AV38" s="132"/>
      <c r="AW38" s="132"/>
      <c r="AX38" s="132"/>
      <c r="AY38" s="139"/>
      <c r="AZ38" s="132"/>
      <c r="BA38" s="132"/>
      <c r="BB38" s="132"/>
      <c r="BC38" s="132"/>
      <c r="BD38" s="132"/>
      <c r="BE38" s="132"/>
      <c r="BF38" s="132"/>
      <c r="BG38" s="132"/>
      <c r="BH38" s="132"/>
      <c r="BI38" s="132"/>
      <c r="BJ38" s="139"/>
      <c r="BK38" s="132"/>
      <c r="BL38" s="132"/>
      <c r="BM38" s="132"/>
      <c r="BN38" s="132"/>
      <c r="BO38" s="132"/>
      <c r="BP38" s="132"/>
      <c r="BQ38" s="132"/>
      <c r="BR38" s="132"/>
      <c r="BS38" s="132"/>
      <c r="BT38" s="132"/>
      <c r="BU38" s="132"/>
      <c r="BV38" s="132"/>
      <c r="BW38" s="132"/>
      <c r="BX38" s="132"/>
      <c r="BY38" s="139"/>
      <c r="BZ38" s="132"/>
      <c r="CA38" s="132"/>
      <c r="CB38" s="132"/>
      <c r="CC38" s="132"/>
      <c r="CD38" s="132"/>
      <c r="CE38" s="132"/>
      <c r="CF38" s="132"/>
      <c r="CG38" s="132"/>
      <c r="CH38" s="132"/>
      <c r="CI38" s="132"/>
      <c r="CJ38" s="139"/>
      <c r="CK38" s="132"/>
      <c r="CL38" s="132"/>
      <c r="CM38" s="132"/>
      <c r="CN38" s="132"/>
      <c r="CO38" s="132"/>
      <c r="CP38" s="132"/>
      <c r="CQ38" s="132"/>
      <c r="CR38" s="132"/>
      <c r="CS38" s="132"/>
      <c r="CT38" s="139"/>
      <c r="CU38" s="132"/>
      <c r="CV38" s="132"/>
      <c r="CW38" s="132"/>
      <c r="CX38" s="132"/>
      <c r="CY38" s="132"/>
      <c r="CZ38" s="132"/>
      <c r="DA38" s="132"/>
      <c r="DB38" s="132"/>
      <c r="DC38" s="132"/>
      <c r="DD38" s="132"/>
      <c r="DE38" s="132"/>
      <c r="DF38" s="132"/>
      <c r="DG38" s="132"/>
      <c r="DH38" s="139"/>
      <c r="DI38" s="109"/>
      <c r="DJ38" s="109"/>
      <c r="DK38" s="133"/>
      <c r="DL38" s="109"/>
      <c r="DM38" s="132"/>
      <c r="DN38" s="132"/>
      <c r="DO38" s="132"/>
      <c r="DP38" s="132"/>
      <c r="DQ38" s="132"/>
      <c r="DR38" s="132"/>
      <c r="DS38" s="132"/>
      <c r="DT38" s="132"/>
      <c r="DU38" s="132"/>
      <c r="DV38" s="139"/>
      <c r="DW38" s="132"/>
      <c r="DX38" s="132"/>
      <c r="DY38" s="109"/>
      <c r="DZ38" s="133"/>
      <c r="EA38" s="109"/>
      <c r="EB38" s="133"/>
      <c r="EC38" s="132"/>
      <c r="ED38" s="132"/>
      <c r="EE38" s="132"/>
      <c r="EF38" s="132"/>
      <c r="EG38" s="132"/>
      <c r="EH38" s="132"/>
      <c r="EI38" s="132"/>
      <c r="EJ38" s="132"/>
      <c r="EK38" s="5">
        <f t="shared" si="5"/>
        <v>23</v>
      </c>
      <c r="EL38" s="5">
        <v>2</v>
      </c>
      <c r="EM38" s="5">
        <f t="shared" si="1"/>
        <v>24</v>
      </c>
      <c r="EN38" s="153">
        <v>2</v>
      </c>
      <c r="EO38" s="7">
        <f t="shared" si="2"/>
        <v>3</v>
      </c>
      <c r="EP38" s="40" t="str">
        <f t="shared" si="3"/>
        <v/>
      </c>
      <c r="EQ38" s="41" t="str">
        <f t="shared" si="6"/>
        <v/>
      </c>
      <c r="ET38" s="164" t="s">
        <v>325</v>
      </c>
    </row>
    <row r="39" spans="1:150" x14ac:dyDescent="0.25">
      <c r="A39" s="129" t="s">
        <v>326</v>
      </c>
      <c r="B39" s="129"/>
      <c r="C39" s="130">
        <v>33</v>
      </c>
      <c r="D39" s="177"/>
      <c r="E39" s="175">
        <v>0</v>
      </c>
      <c r="F39" s="132">
        <v>1</v>
      </c>
      <c r="G39" s="132"/>
      <c r="H39" s="132">
        <v>1</v>
      </c>
      <c r="I39" s="132">
        <v>1</v>
      </c>
      <c r="J39" s="132">
        <v>1</v>
      </c>
      <c r="K39" s="132">
        <v>1</v>
      </c>
      <c r="L39" s="132">
        <v>1</v>
      </c>
      <c r="M39" s="132">
        <v>1</v>
      </c>
      <c r="N39" s="132">
        <v>1</v>
      </c>
      <c r="O39" s="132">
        <v>1</v>
      </c>
      <c r="P39" s="132"/>
      <c r="Q39" s="176" t="s">
        <v>37</v>
      </c>
      <c r="R39" s="175"/>
      <c r="S39" s="132">
        <v>1</v>
      </c>
      <c r="T39" s="132">
        <v>1</v>
      </c>
      <c r="U39" s="176"/>
      <c r="V39" s="175">
        <v>1</v>
      </c>
      <c r="W39" s="132">
        <v>1</v>
      </c>
      <c r="X39" s="132">
        <v>1</v>
      </c>
      <c r="Y39" s="132"/>
      <c r="Z39" s="132">
        <v>1</v>
      </c>
      <c r="AA39" s="132">
        <v>1</v>
      </c>
      <c r="AB39" s="132">
        <v>1</v>
      </c>
      <c r="AC39" s="132"/>
      <c r="AD39" s="132">
        <v>1</v>
      </c>
      <c r="AE39" s="132">
        <v>1</v>
      </c>
      <c r="AF39" s="132">
        <v>1</v>
      </c>
      <c r="AG39" s="132">
        <v>1</v>
      </c>
      <c r="AH39" s="176"/>
      <c r="AI39" s="174"/>
      <c r="AJ39" s="132"/>
      <c r="AK39" s="132"/>
      <c r="AL39" s="132"/>
      <c r="AM39" s="132"/>
      <c r="AN39" s="132"/>
      <c r="AO39" s="139"/>
      <c r="AP39" s="132"/>
      <c r="AQ39" s="132"/>
      <c r="AR39" s="132"/>
      <c r="AS39" s="132"/>
      <c r="AT39" s="132"/>
      <c r="AU39" s="132"/>
      <c r="AV39" s="132"/>
      <c r="AW39" s="132"/>
      <c r="AX39" s="132"/>
      <c r="AY39" s="139"/>
      <c r="AZ39" s="132"/>
      <c r="BA39" s="132"/>
      <c r="BB39" s="132"/>
      <c r="BC39" s="132"/>
      <c r="BD39" s="132"/>
      <c r="BE39" s="132"/>
      <c r="BF39" s="132"/>
      <c r="BG39" s="132"/>
      <c r="BH39" s="132"/>
      <c r="BI39" s="132"/>
      <c r="BJ39" s="139"/>
      <c r="BK39" s="132"/>
      <c r="BL39" s="132"/>
      <c r="BM39" s="132"/>
      <c r="BN39" s="132"/>
      <c r="BO39" s="132"/>
      <c r="BP39" s="132"/>
      <c r="BQ39" s="132"/>
      <c r="BR39" s="132"/>
      <c r="BS39" s="132"/>
      <c r="BT39" s="132"/>
      <c r="BU39" s="132"/>
      <c r="BV39" s="132"/>
      <c r="BW39" s="132"/>
      <c r="BX39" s="132"/>
      <c r="BY39" s="139"/>
      <c r="BZ39" s="132"/>
      <c r="CA39" s="132"/>
      <c r="CB39" s="132"/>
      <c r="CC39" s="132"/>
      <c r="CD39" s="132"/>
      <c r="CE39" s="132"/>
      <c r="CF39" s="132"/>
      <c r="CG39" s="132"/>
      <c r="CH39" s="132"/>
      <c r="CI39" s="132"/>
      <c r="CJ39" s="139"/>
      <c r="CK39" s="132"/>
      <c r="CL39" s="132"/>
      <c r="CM39" s="132"/>
      <c r="CN39" s="132"/>
      <c r="CO39" s="132"/>
      <c r="CP39" s="132"/>
      <c r="CQ39" s="132"/>
      <c r="CR39" s="132"/>
      <c r="CS39" s="132"/>
      <c r="CT39" s="139"/>
      <c r="CU39" s="132"/>
      <c r="CV39" s="132"/>
      <c r="CW39" s="132"/>
      <c r="CX39" s="132"/>
      <c r="CY39" s="132"/>
      <c r="CZ39" s="132"/>
      <c r="DA39" s="132"/>
      <c r="DB39" s="132"/>
      <c r="DC39" s="132"/>
      <c r="DD39" s="132"/>
      <c r="DE39" s="132"/>
      <c r="DF39" s="132"/>
      <c r="DG39" s="132"/>
      <c r="DH39" s="139"/>
      <c r="DI39" s="109"/>
      <c r="DJ39" s="109"/>
      <c r="DK39" s="133"/>
      <c r="DL39" s="109"/>
      <c r="DM39" s="132"/>
      <c r="DN39" s="132"/>
      <c r="DO39" s="132"/>
      <c r="DP39" s="132"/>
      <c r="DQ39" s="132"/>
      <c r="DR39" s="132"/>
      <c r="DS39" s="132"/>
      <c r="DT39" s="132"/>
      <c r="DU39" s="149"/>
      <c r="DV39" s="139"/>
      <c r="DW39" s="132"/>
      <c r="DX39" s="132"/>
      <c r="DY39" s="109"/>
      <c r="DZ39" s="133"/>
      <c r="EA39" s="109"/>
      <c r="EB39" s="133"/>
      <c r="EC39" s="132"/>
      <c r="ED39" s="132"/>
      <c r="EE39" s="132"/>
      <c r="EF39" s="132"/>
      <c r="EG39" s="132"/>
      <c r="EH39" s="132"/>
      <c r="EI39" s="132"/>
      <c r="EJ39" s="132"/>
      <c r="EK39" s="5">
        <f t="shared" si="5"/>
        <v>21</v>
      </c>
      <c r="EL39" s="5">
        <v>2</v>
      </c>
      <c r="EM39" s="5">
        <f t="shared" si="1"/>
        <v>24</v>
      </c>
      <c r="EN39" s="153">
        <v>-2</v>
      </c>
      <c r="EO39" s="7">
        <f t="shared" si="2"/>
        <v>1</v>
      </c>
      <c r="EP39" s="40" t="str">
        <f t="shared" si="3"/>
        <v/>
      </c>
      <c r="EQ39" s="41" t="str">
        <f t="shared" si="6"/>
        <v/>
      </c>
      <c r="ET39" s="164" t="s">
        <v>326</v>
      </c>
    </row>
    <row r="40" spans="1:150" x14ac:dyDescent="0.25">
      <c r="A40" s="129" t="s">
        <v>327</v>
      </c>
      <c r="B40" s="129"/>
      <c r="C40" s="130">
        <v>34</v>
      </c>
      <c r="D40" s="177"/>
      <c r="E40" s="175">
        <v>0</v>
      </c>
      <c r="F40" s="132">
        <v>1</v>
      </c>
      <c r="G40" s="132"/>
      <c r="H40" s="132">
        <v>1</v>
      </c>
      <c r="I40" s="132">
        <v>1</v>
      </c>
      <c r="J40" s="132">
        <v>1</v>
      </c>
      <c r="K40" s="132">
        <v>1</v>
      </c>
      <c r="L40" s="132">
        <v>1</v>
      </c>
      <c r="M40" s="132">
        <v>1</v>
      </c>
      <c r="N40" s="132">
        <v>1</v>
      </c>
      <c r="O40" s="132">
        <v>1</v>
      </c>
      <c r="P40" s="132"/>
      <c r="Q40" s="176" t="s">
        <v>37</v>
      </c>
      <c r="R40" s="175"/>
      <c r="S40" s="132">
        <v>1</v>
      </c>
      <c r="T40" s="132">
        <v>1</v>
      </c>
      <c r="U40" s="176"/>
      <c r="V40" s="175">
        <v>1</v>
      </c>
      <c r="W40" s="132">
        <v>1</v>
      </c>
      <c r="X40" s="132">
        <v>1</v>
      </c>
      <c r="Y40" s="132"/>
      <c r="Z40" s="132">
        <v>1</v>
      </c>
      <c r="AA40" s="132">
        <v>1</v>
      </c>
      <c r="AB40" s="132">
        <v>1</v>
      </c>
      <c r="AC40" s="132"/>
      <c r="AD40" s="132">
        <v>1</v>
      </c>
      <c r="AE40" s="132">
        <v>1</v>
      </c>
      <c r="AF40" s="132">
        <v>1</v>
      </c>
      <c r="AG40" s="132">
        <v>1</v>
      </c>
      <c r="AH40" s="176"/>
      <c r="AI40" s="174"/>
      <c r="AJ40" s="132"/>
      <c r="AK40" s="132"/>
      <c r="AL40" s="132"/>
      <c r="AM40" s="132"/>
      <c r="AN40" s="132"/>
      <c r="AO40" s="139"/>
      <c r="AP40" s="132"/>
      <c r="AQ40" s="132"/>
      <c r="AR40" s="132"/>
      <c r="AS40" s="132"/>
      <c r="AT40" s="132"/>
      <c r="AU40" s="132"/>
      <c r="AV40" s="132"/>
      <c r="AW40" s="132"/>
      <c r="AX40" s="132"/>
      <c r="AY40" s="139"/>
      <c r="AZ40" s="132"/>
      <c r="BA40" s="132"/>
      <c r="BB40" s="132"/>
      <c r="BC40" s="132"/>
      <c r="BD40" s="132"/>
      <c r="BE40" s="132"/>
      <c r="BF40" s="132"/>
      <c r="BG40" s="132"/>
      <c r="BH40" s="132"/>
      <c r="BI40" s="132"/>
      <c r="BJ40" s="139"/>
      <c r="BK40" s="132"/>
      <c r="BL40" s="132"/>
      <c r="BM40" s="132"/>
      <c r="BN40" s="132"/>
      <c r="BO40" s="132"/>
      <c r="BP40" s="132"/>
      <c r="BQ40" s="132"/>
      <c r="BR40" s="132"/>
      <c r="BS40" s="132"/>
      <c r="BT40" s="132"/>
      <c r="BU40" s="132"/>
      <c r="BV40" s="132"/>
      <c r="BW40" s="132"/>
      <c r="BX40" s="132"/>
      <c r="BY40" s="139"/>
      <c r="BZ40" s="132"/>
      <c r="CA40" s="132"/>
      <c r="CB40" s="132"/>
      <c r="CC40" s="132"/>
      <c r="CD40" s="132"/>
      <c r="CE40" s="132"/>
      <c r="CF40" s="132"/>
      <c r="CG40" s="132"/>
      <c r="CH40" s="132"/>
      <c r="CI40" s="132"/>
      <c r="CJ40" s="139"/>
      <c r="CK40" s="132"/>
      <c r="CL40" s="132"/>
      <c r="CM40" s="132"/>
      <c r="CN40" s="132"/>
      <c r="CO40" s="132"/>
      <c r="CP40" s="132"/>
      <c r="CQ40" s="132"/>
      <c r="CR40" s="132"/>
      <c r="CS40" s="132"/>
      <c r="CT40" s="139"/>
      <c r="CU40" s="132"/>
      <c r="CV40" s="132"/>
      <c r="CW40" s="132"/>
      <c r="CX40" s="132"/>
      <c r="CY40" s="132"/>
      <c r="CZ40" s="132"/>
      <c r="DA40" s="132"/>
      <c r="DB40" s="132"/>
      <c r="DC40" s="132"/>
      <c r="DD40" s="132"/>
      <c r="DE40" s="132"/>
      <c r="DF40" s="132"/>
      <c r="DG40" s="132"/>
      <c r="DH40" s="139"/>
      <c r="DI40" s="109"/>
      <c r="DJ40" s="109"/>
      <c r="DK40" s="133"/>
      <c r="DL40" s="109"/>
      <c r="DM40" s="132"/>
      <c r="DN40" s="132"/>
      <c r="DO40" s="132"/>
      <c r="DP40" s="132"/>
      <c r="DQ40" s="132"/>
      <c r="DR40" s="132"/>
      <c r="DS40" s="132"/>
      <c r="DT40" s="132"/>
      <c r="DU40" s="149"/>
      <c r="DV40" s="139"/>
      <c r="DW40" s="132"/>
      <c r="DX40" s="132"/>
      <c r="DY40" s="109"/>
      <c r="DZ40" s="133"/>
      <c r="EA40" s="109"/>
      <c r="EB40" s="133"/>
      <c r="EC40" s="132"/>
      <c r="ED40" s="132"/>
      <c r="EE40" s="132"/>
      <c r="EF40" s="132"/>
      <c r="EG40" s="132"/>
      <c r="EH40" s="132"/>
      <c r="EI40" s="132"/>
      <c r="EJ40" s="132"/>
      <c r="EK40" s="5">
        <f t="shared" si="5"/>
        <v>21</v>
      </c>
      <c r="EL40" s="5">
        <v>2</v>
      </c>
      <c r="EM40" s="5">
        <f t="shared" si="1"/>
        <v>24</v>
      </c>
      <c r="EN40" s="153">
        <v>-1</v>
      </c>
      <c r="EO40" s="7">
        <f t="shared" si="2"/>
        <v>2</v>
      </c>
      <c r="EP40" s="40" t="str">
        <f t="shared" si="3"/>
        <v/>
      </c>
      <c r="EQ40" s="41" t="str">
        <f t="shared" si="6"/>
        <v/>
      </c>
      <c r="ET40" s="162" t="s">
        <v>327</v>
      </c>
    </row>
    <row r="41" spans="1:150" x14ac:dyDescent="0.25">
      <c r="A41" s="129" t="s">
        <v>331</v>
      </c>
      <c r="B41" s="129"/>
      <c r="C41" s="130">
        <v>35</v>
      </c>
      <c r="D41" s="177"/>
      <c r="E41" s="175">
        <v>1</v>
      </c>
      <c r="F41" s="132">
        <v>1</v>
      </c>
      <c r="G41" s="132"/>
      <c r="H41" s="132">
        <v>1</v>
      </c>
      <c r="I41" s="132">
        <v>1</v>
      </c>
      <c r="J41" s="132"/>
      <c r="K41" s="132"/>
      <c r="L41" s="132">
        <v>1</v>
      </c>
      <c r="M41" s="132">
        <v>1</v>
      </c>
      <c r="N41" s="132"/>
      <c r="O41" s="132">
        <v>1</v>
      </c>
      <c r="P41" s="132"/>
      <c r="Q41" s="176" t="s">
        <v>37</v>
      </c>
      <c r="R41" s="175">
        <v>1</v>
      </c>
      <c r="S41" s="132"/>
      <c r="T41" s="132">
        <v>1</v>
      </c>
      <c r="U41" s="176"/>
      <c r="V41" s="175"/>
      <c r="W41" s="132">
        <v>1</v>
      </c>
      <c r="X41" s="132"/>
      <c r="Y41" s="132">
        <v>1</v>
      </c>
      <c r="Z41" s="132"/>
      <c r="AA41" s="132"/>
      <c r="AB41" s="132"/>
      <c r="AC41" s="132"/>
      <c r="AD41" s="132"/>
      <c r="AE41" s="132"/>
      <c r="AF41" s="132">
        <v>1</v>
      </c>
      <c r="AG41" s="132"/>
      <c r="AH41" s="176"/>
      <c r="AI41" s="174"/>
      <c r="AJ41" s="132"/>
      <c r="AK41" s="132"/>
      <c r="AL41" s="132"/>
      <c r="AM41" s="132"/>
      <c r="AN41" s="132"/>
      <c r="AO41" s="139"/>
      <c r="AP41" s="132"/>
      <c r="AQ41" s="132"/>
      <c r="AR41" s="132"/>
      <c r="AS41" s="132"/>
      <c r="AT41" s="132"/>
      <c r="AU41" s="132"/>
      <c r="AV41" s="132"/>
      <c r="AW41" s="132"/>
      <c r="AX41" s="132"/>
      <c r="AY41" s="139"/>
      <c r="AZ41" s="132"/>
      <c r="BA41" s="132"/>
      <c r="BB41" s="132"/>
      <c r="BC41" s="132"/>
      <c r="BD41" s="132"/>
      <c r="BE41" s="132"/>
      <c r="BF41" s="132"/>
      <c r="BG41" s="132"/>
      <c r="BH41" s="132"/>
      <c r="BI41" s="132"/>
      <c r="BJ41" s="139"/>
      <c r="BK41" s="132"/>
      <c r="BL41" s="132"/>
      <c r="BM41" s="132"/>
      <c r="BN41" s="132"/>
      <c r="BO41" s="132"/>
      <c r="BP41" s="132"/>
      <c r="BQ41" s="132"/>
      <c r="BR41" s="132"/>
      <c r="BS41" s="132"/>
      <c r="BT41" s="132"/>
      <c r="BU41" s="132"/>
      <c r="BV41" s="132"/>
      <c r="BW41" s="132"/>
      <c r="BX41" s="132"/>
      <c r="BY41" s="139"/>
      <c r="BZ41" s="132"/>
      <c r="CA41" s="132"/>
      <c r="CB41" s="132"/>
      <c r="CC41" s="132"/>
      <c r="CD41" s="132"/>
      <c r="CE41" s="132"/>
      <c r="CF41" s="132"/>
      <c r="CG41" s="132"/>
      <c r="CH41" s="132"/>
      <c r="CI41" s="132"/>
      <c r="CJ41" s="139"/>
      <c r="CK41" s="132"/>
      <c r="CL41" s="132"/>
      <c r="CM41" s="132"/>
      <c r="CN41" s="132"/>
      <c r="CO41" s="132"/>
      <c r="CP41" s="132"/>
      <c r="CQ41" s="132"/>
      <c r="CR41" s="132"/>
      <c r="CS41" s="132"/>
      <c r="CT41" s="139"/>
      <c r="CU41" s="132"/>
      <c r="CV41" s="132"/>
      <c r="CW41" s="132"/>
      <c r="CX41" s="132"/>
      <c r="CY41" s="132"/>
      <c r="CZ41" s="132"/>
      <c r="DA41" s="132"/>
      <c r="DB41" s="132"/>
      <c r="DC41" s="132"/>
      <c r="DD41" s="132"/>
      <c r="DE41" s="132"/>
      <c r="DF41" s="132"/>
      <c r="DG41" s="132"/>
      <c r="DH41" s="139"/>
      <c r="DI41" s="109"/>
      <c r="DJ41" s="109"/>
      <c r="DK41" s="133"/>
      <c r="DL41" s="109"/>
      <c r="DM41" s="132"/>
      <c r="DN41" s="132"/>
      <c r="DO41" s="132"/>
      <c r="DP41" s="132"/>
      <c r="DQ41" s="132"/>
      <c r="DR41" s="132"/>
      <c r="DS41" s="132"/>
      <c r="DT41" s="132"/>
      <c r="DU41" s="149"/>
      <c r="DV41" s="139"/>
      <c r="DW41" s="132"/>
      <c r="DX41" s="132"/>
      <c r="DY41" s="109"/>
      <c r="DZ41" s="133"/>
      <c r="EA41" s="109"/>
      <c r="EB41" s="133"/>
      <c r="EC41" s="132"/>
      <c r="ED41" s="132"/>
      <c r="EE41" s="132"/>
      <c r="EF41" s="132"/>
      <c r="EG41" s="132"/>
      <c r="EH41" s="132"/>
      <c r="EI41" s="132"/>
      <c r="EJ41" s="132"/>
      <c r="EK41" s="5">
        <f t="shared" si="5"/>
        <v>12</v>
      </c>
      <c r="EL41" s="5">
        <v>1</v>
      </c>
      <c r="EM41" s="5">
        <f t="shared" si="1"/>
        <v>12</v>
      </c>
      <c r="EN41" s="153">
        <v>7</v>
      </c>
      <c r="EO41" s="7">
        <f t="shared" si="2"/>
        <v>7</v>
      </c>
      <c r="EP41" s="40" t="str">
        <f>IF(EO41&gt;0, "","NO")</f>
        <v/>
      </c>
      <c r="EQ41" s="41" t="str">
        <f t="shared" si="6"/>
        <v/>
      </c>
      <c r="ET41" s="162" t="s">
        <v>331</v>
      </c>
    </row>
    <row r="42" spans="1:150" x14ac:dyDescent="0.25">
      <c r="A42" s="129" t="s">
        <v>369</v>
      </c>
      <c r="B42" s="129"/>
      <c r="C42" s="130">
        <v>36</v>
      </c>
      <c r="D42" s="177"/>
      <c r="E42" s="175">
        <v>1</v>
      </c>
      <c r="F42" s="132">
        <v>1</v>
      </c>
      <c r="G42" s="132">
        <v>1</v>
      </c>
      <c r="H42" s="132">
        <v>1</v>
      </c>
      <c r="I42" s="132">
        <v>1</v>
      </c>
      <c r="J42" s="132">
        <v>1</v>
      </c>
      <c r="K42" s="132">
        <v>1</v>
      </c>
      <c r="L42" s="132">
        <v>1</v>
      </c>
      <c r="M42" s="132">
        <v>1</v>
      </c>
      <c r="N42" s="132">
        <v>1</v>
      </c>
      <c r="O42" s="132">
        <v>1</v>
      </c>
      <c r="P42" s="132">
        <v>1</v>
      </c>
      <c r="Q42" s="176" t="s">
        <v>37</v>
      </c>
      <c r="R42" s="175"/>
      <c r="S42" s="132"/>
      <c r="T42" s="132"/>
      <c r="U42" s="176"/>
      <c r="V42" s="175"/>
      <c r="W42" s="132">
        <v>1</v>
      </c>
      <c r="X42" s="132">
        <v>1</v>
      </c>
      <c r="Y42" s="132">
        <v>1</v>
      </c>
      <c r="Z42" s="132">
        <v>1</v>
      </c>
      <c r="AA42" s="132">
        <v>1</v>
      </c>
      <c r="AB42" s="132">
        <v>1</v>
      </c>
      <c r="AC42" s="132">
        <v>1</v>
      </c>
      <c r="AD42" s="132">
        <v>1</v>
      </c>
      <c r="AE42" s="132">
        <v>1</v>
      </c>
      <c r="AF42" s="132">
        <v>1</v>
      </c>
      <c r="AG42" s="132">
        <v>1</v>
      </c>
      <c r="AH42" s="176"/>
      <c r="AI42" s="174"/>
      <c r="AJ42" s="132"/>
      <c r="AK42" s="132"/>
      <c r="AL42" s="132"/>
      <c r="AM42" s="132"/>
      <c r="AN42" s="132"/>
      <c r="AO42" s="139"/>
      <c r="AP42" s="132"/>
      <c r="AQ42" s="132"/>
      <c r="AR42" s="132"/>
      <c r="AS42" s="132"/>
      <c r="AT42" s="132"/>
      <c r="AU42" s="132"/>
      <c r="AV42" s="132"/>
      <c r="AW42" s="132"/>
      <c r="AX42" s="132"/>
      <c r="AY42" s="139"/>
      <c r="AZ42" s="132"/>
      <c r="BA42" s="132"/>
      <c r="BB42" s="132"/>
      <c r="BC42" s="132"/>
      <c r="BD42" s="132"/>
      <c r="BE42" s="132"/>
      <c r="BF42" s="132"/>
      <c r="BG42" s="132"/>
      <c r="BH42" s="132"/>
      <c r="BI42" s="132"/>
      <c r="BJ42" s="139"/>
      <c r="BK42" s="132"/>
      <c r="BL42" s="132"/>
      <c r="BM42" s="132"/>
      <c r="BN42" s="132"/>
      <c r="BO42" s="132"/>
      <c r="BP42" s="132"/>
      <c r="BQ42" s="132"/>
      <c r="BR42" s="132"/>
      <c r="BS42" s="132"/>
      <c r="BT42" s="132"/>
      <c r="BU42" s="132"/>
      <c r="BV42" s="132"/>
      <c r="BW42" s="132"/>
      <c r="BX42" s="132"/>
      <c r="BY42" s="139"/>
      <c r="BZ42" s="132"/>
      <c r="CA42" s="132"/>
      <c r="CB42" s="132"/>
      <c r="CC42" s="132"/>
      <c r="CD42" s="132"/>
      <c r="CE42" s="132"/>
      <c r="CF42" s="132"/>
      <c r="CG42" s="132"/>
      <c r="CH42" s="132"/>
      <c r="CI42" s="132"/>
      <c r="CJ42" s="139"/>
      <c r="CK42" s="132"/>
      <c r="CL42" s="132"/>
      <c r="CM42" s="132"/>
      <c r="CN42" s="132"/>
      <c r="CO42" s="132"/>
      <c r="CP42" s="132"/>
      <c r="CQ42" s="132"/>
      <c r="CR42" s="132"/>
      <c r="CS42" s="132"/>
      <c r="CT42" s="139"/>
      <c r="CU42" s="132"/>
      <c r="CV42" s="132"/>
      <c r="CW42" s="132"/>
      <c r="CX42" s="132"/>
      <c r="CY42" s="132"/>
      <c r="CZ42" s="132"/>
      <c r="DA42" s="132"/>
      <c r="DB42" s="132"/>
      <c r="DC42" s="132"/>
      <c r="DD42" s="132"/>
      <c r="DE42" s="132"/>
      <c r="DF42" s="132"/>
      <c r="DG42" s="132"/>
      <c r="DH42" s="139"/>
      <c r="DI42" s="109"/>
      <c r="DJ42" s="109"/>
      <c r="DK42" s="109"/>
      <c r="DL42" s="109"/>
      <c r="DM42" s="109"/>
      <c r="DN42" s="109"/>
      <c r="DO42" s="109"/>
      <c r="DP42" s="109"/>
      <c r="DQ42" s="109"/>
      <c r="DR42" s="109"/>
      <c r="DS42" s="109"/>
      <c r="DT42" s="109"/>
      <c r="DU42" s="109"/>
      <c r="DV42" s="139"/>
      <c r="DW42" s="132"/>
      <c r="DX42" s="132"/>
      <c r="DY42" s="109"/>
      <c r="DZ42" s="133"/>
      <c r="EA42" s="109"/>
      <c r="EB42" s="133"/>
      <c r="EC42" s="132"/>
      <c r="ED42" s="132"/>
      <c r="EE42" s="132"/>
      <c r="EF42" s="132"/>
      <c r="EG42" s="132"/>
      <c r="EH42" s="132"/>
      <c r="EI42" s="132"/>
      <c r="EJ42" s="132"/>
      <c r="EK42" s="5">
        <f t="shared" si="5"/>
        <v>23</v>
      </c>
      <c r="EL42" s="5">
        <v>2</v>
      </c>
      <c r="EM42" s="5">
        <f t="shared" si="1"/>
        <v>24</v>
      </c>
      <c r="EN42" s="153">
        <v>3</v>
      </c>
      <c r="EO42" s="7">
        <f t="shared" si="2"/>
        <v>4</v>
      </c>
      <c r="EP42" s="40" t="str">
        <f t="shared" ref="EP42:EP45" si="7">IF(EO42&gt;0, "","NO")</f>
        <v/>
      </c>
      <c r="EQ42" s="41" t="str">
        <f t="shared" si="6"/>
        <v/>
      </c>
      <c r="ET42" s="164" t="s">
        <v>369</v>
      </c>
    </row>
    <row r="43" spans="1:150" x14ac:dyDescent="0.25">
      <c r="A43" s="129" t="s">
        <v>366</v>
      </c>
      <c r="B43" s="129"/>
      <c r="C43" s="130">
        <v>37</v>
      </c>
      <c r="D43" s="177"/>
      <c r="E43" s="175">
        <v>0</v>
      </c>
      <c r="F43" s="132">
        <v>1</v>
      </c>
      <c r="G43" s="132"/>
      <c r="H43" s="132">
        <v>1</v>
      </c>
      <c r="I43" s="132"/>
      <c r="J43" s="132">
        <v>1</v>
      </c>
      <c r="K43" s="132">
        <v>1</v>
      </c>
      <c r="L43" s="132">
        <v>1</v>
      </c>
      <c r="M43" s="132">
        <v>1</v>
      </c>
      <c r="N43" s="132">
        <v>1</v>
      </c>
      <c r="O43" s="132">
        <v>1</v>
      </c>
      <c r="P43" s="132"/>
      <c r="Q43" s="176" t="s">
        <v>37</v>
      </c>
      <c r="R43" s="175"/>
      <c r="S43" s="132"/>
      <c r="T43" s="132"/>
      <c r="U43" s="176"/>
      <c r="V43" s="175"/>
      <c r="W43" s="132">
        <v>1</v>
      </c>
      <c r="X43" s="132"/>
      <c r="Y43" s="132"/>
      <c r="Z43" s="132">
        <v>1</v>
      </c>
      <c r="AA43" s="132">
        <v>1</v>
      </c>
      <c r="AB43" s="132">
        <v>1</v>
      </c>
      <c r="AC43" s="132">
        <v>1</v>
      </c>
      <c r="AD43" s="132">
        <v>1</v>
      </c>
      <c r="AE43" s="132">
        <v>1</v>
      </c>
      <c r="AF43" s="132">
        <v>1</v>
      </c>
      <c r="AG43" s="132">
        <v>1</v>
      </c>
      <c r="AH43" s="176"/>
      <c r="AI43" s="174"/>
      <c r="AJ43" s="132"/>
      <c r="AK43" s="132"/>
      <c r="AL43" s="132"/>
      <c r="AM43" s="132"/>
      <c r="AN43" s="132"/>
      <c r="AO43" s="139"/>
      <c r="AP43" s="132"/>
      <c r="AQ43" s="132"/>
      <c r="AR43" s="132"/>
      <c r="AS43" s="132"/>
      <c r="AT43" s="132"/>
      <c r="AU43" s="132"/>
      <c r="AV43" s="132"/>
      <c r="AW43" s="132"/>
      <c r="AX43" s="132"/>
      <c r="AY43" s="139"/>
      <c r="AZ43" s="132"/>
      <c r="BA43" s="132"/>
      <c r="BB43" s="132"/>
      <c r="BC43" s="132"/>
      <c r="BD43" s="132"/>
      <c r="BE43" s="132"/>
      <c r="BF43" s="132"/>
      <c r="BG43" s="132"/>
      <c r="BH43" s="132"/>
      <c r="BI43" s="132"/>
      <c r="BJ43" s="139"/>
      <c r="BK43" s="132"/>
      <c r="BL43" s="132"/>
      <c r="BM43" s="132"/>
      <c r="BN43" s="132"/>
      <c r="BO43" s="132"/>
      <c r="BP43" s="132"/>
      <c r="BQ43" s="132"/>
      <c r="BR43" s="132"/>
      <c r="BS43" s="132"/>
      <c r="BT43" s="132"/>
      <c r="BU43" s="132"/>
      <c r="BV43" s="132"/>
      <c r="BW43" s="132"/>
      <c r="BX43" s="132"/>
      <c r="BY43" s="139"/>
      <c r="BZ43" s="132"/>
      <c r="CA43" s="132"/>
      <c r="CB43" s="132"/>
      <c r="CC43" s="132"/>
      <c r="CD43" s="132"/>
      <c r="CE43" s="132"/>
      <c r="CF43" s="132"/>
      <c r="CG43" s="132"/>
      <c r="CH43" s="132"/>
      <c r="CI43" s="132"/>
      <c r="CJ43" s="139"/>
      <c r="CK43" s="132"/>
      <c r="CL43" s="132"/>
      <c r="CM43" s="132"/>
      <c r="CN43" s="132"/>
      <c r="CO43" s="132"/>
      <c r="CP43" s="132"/>
      <c r="CQ43" s="132"/>
      <c r="CR43" s="132"/>
      <c r="CS43" s="132"/>
      <c r="CT43" s="139"/>
      <c r="CU43" s="132"/>
      <c r="CV43" s="132"/>
      <c r="CW43" s="132"/>
      <c r="CX43" s="132"/>
      <c r="CY43" s="132"/>
      <c r="CZ43" s="132"/>
      <c r="DA43" s="132"/>
      <c r="DB43" s="132"/>
      <c r="DC43" s="132"/>
      <c r="DD43" s="132"/>
      <c r="DE43" s="132"/>
      <c r="DF43" s="132"/>
      <c r="DG43" s="132"/>
      <c r="DH43" s="139"/>
      <c r="DI43" s="109"/>
      <c r="DJ43" s="109"/>
      <c r="DK43" s="109"/>
      <c r="DL43" s="109"/>
      <c r="DM43" s="109"/>
      <c r="DN43" s="109"/>
      <c r="DO43" s="109"/>
      <c r="DP43" s="109"/>
      <c r="DQ43" s="109"/>
      <c r="DR43" s="109"/>
      <c r="DS43" s="109"/>
      <c r="DT43" s="109"/>
      <c r="DU43" s="109"/>
      <c r="DV43" s="139"/>
      <c r="DW43" s="132"/>
      <c r="DX43" s="132"/>
      <c r="DY43" s="109"/>
      <c r="DZ43" s="133"/>
      <c r="EA43" s="109"/>
      <c r="EB43" s="133"/>
      <c r="EC43" s="132"/>
      <c r="ED43" s="132"/>
      <c r="EE43" s="132"/>
      <c r="EF43" s="132"/>
      <c r="EG43" s="132"/>
      <c r="EH43" s="132"/>
      <c r="EI43" s="132"/>
      <c r="EJ43" s="132"/>
      <c r="EK43" s="5">
        <f t="shared" si="5"/>
        <v>17</v>
      </c>
      <c r="EL43" s="5">
        <v>2</v>
      </c>
      <c r="EM43" s="5">
        <f t="shared" si="1"/>
        <v>24</v>
      </c>
      <c r="EN43" s="153">
        <v>0</v>
      </c>
      <c r="EO43" s="7">
        <f t="shared" si="2"/>
        <v>7</v>
      </c>
      <c r="EP43" s="40" t="str">
        <f t="shared" si="7"/>
        <v/>
      </c>
      <c r="EQ43" s="41" t="str">
        <f t="shared" si="6"/>
        <v/>
      </c>
      <c r="ET43" s="162" t="s">
        <v>366</v>
      </c>
    </row>
    <row r="44" spans="1:150" x14ac:dyDescent="0.25">
      <c r="A44" s="129" t="s">
        <v>368</v>
      </c>
      <c r="B44" s="129"/>
      <c r="C44" s="130">
        <v>38</v>
      </c>
      <c r="D44" s="177"/>
      <c r="E44" s="175">
        <v>0</v>
      </c>
      <c r="F44" s="132">
        <v>1</v>
      </c>
      <c r="G44" s="132">
        <v>1</v>
      </c>
      <c r="H44" s="132">
        <v>1</v>
      </c>
      <c r="I44" s="132">
        <v>1</v>
      </c>
      <c r="J44" s="132">
        <v>1</v>
      </c>
      <c r="K44" s="132">
        <v>1</v>
      </c>
      <c r="L44" s="132">
        <v>1</v>
      </c>
      <c r="M44" s="132">
        <v>1</v>
      </c>
      <c r="N44" s="132">
        <v>1</v>
      </c>
      <c r="O44" s="132">
        <v>1</v>
      </c>
      <c r="P44" s="132">
        <v>1</v>
      </c>
      <c r="Q44" s="176" t="s">
        <v>37</v>
      </c>
      <c r="R44" s="175"/>
      <c r="S44" s="132"/>
      <c r="T44" s="132"/>
      <c r="U44" s="176"/>
      <c r="V44" s="175"/>
      <c r="W44" s="132">
        <v>1</v>
      </c>
      <c r="X44" s="132">
        <v>1</v>
      </c>
      <c r="Y44" s="132">
        <v>1</v>
      </c>
      <c r="Z44" s="132">
        <v>1</v>
      </c>
      <c r="AA44" s="132">
        <v>1</v>
      </c>
      <c r="AB44" s="132">
        <v>1</v>
      </c>
      <c r="AC44" s="132">
        <v>1</v>
      </c>
      <c r="AD44" s="132">
        <v>1</v>
      </c>
      <c r="AE44" s="132">
        <v>1</v>
      </c>
      <c r="AF44" s="132">
        <v>1</v>
      </c>
      <c r="AG44" s="132">
        <v>1</v>
      </c>
      <c r="AH44" s="176"/>
      <c r="AI44" s="174"/>
      <c r="AJ44" s="132"/>
      <c r="AK44" s="132"/>
      <c r="AL44" s="132"/>
      <c r="AM44" s="132"/>
      <c r="AN44" s="132"/>
      <c r="AO44" s="139"/>
      <c r="AP44" s="132"/>
      <c r="AQ44" s="132"/>
      <c r="AR44" s="132"/>
      <c r="AS44" s="132"/>
      <c r="AT44" s="132"/>
      <c r="AU44" s="132"/>
      <c r="AV44" s="132"/>
      <c r="AW44" s="132"/>
      <c r="AX44" s="132"/>
      <c r="AY44" s="139"/>
      <c r="AZ44" s="132"/>
      <c r="BA44" s="132"/>
      <c r="BB44" s="132"/>
      <c r="BC44" s="132"/>
      <c r="BD44" s="132"/>
      <c r="BE44" s="132"/>
      <c r="BF44" s="132"/>
      <c r="BG44" s="132"/>
      <c r="BH44" s="132"/>
      <c r="BI44" s="132"/>
      <c r="BJ44" s="139"/>
      <c r="BK44" s="132"/>
      <c r="BL44" s="132"/>
      <c r="BM44" s="132"/>
      <c r="BN44" s="132"/>
      <c r="BO44" s="132"/>
      <c r="BP44" s="132"/>
      <c r="BQ44" s="132"/>
      <c r="BR44" s="132"/>
      <c r="BS44" s="132"/>
      <c r="BT44" s="132"/>
      <c r="BU44" s="132"/>
      <c r="BV44" s="132"/>
      <c r="BW44" s="132"/>
      <c r="BX44" s="132"/>
      <c r="BY44" s="139"/>
      <c r="BZ44" s="132"/>
      <c r="CA44" s="132"/>
      <c r="CB44" s="132"/>
      <c r="CC44" s="132"/>
      <c r="CD44" s="132"/>
      <c r="CE44" s="132"/>
      <c r="CF44" s="132"/>
      <c r="CG44" s="132"/>
      <c r="CH44" s="132"/>
      <c r="CI44" s="132"/>
      <c r="CJ44" s="139"/>
      <c r="CK44" s="132"/>
      <c r="CL44" s="132"/>
      <c r="CM44" s="132"/>
      <c r="CN44" s="132"/>
      <c r="CO44" s="132"/>
      <c r="CP44" s="132"/>
      <c r="CQ44" s="132"/>
      <c r="CR44" s="132"/>
      <c r="CS44" s="132"/>
      <c r="CT44" s="139"/>
      <c r="CU44" s="132"/>
      <c r="CV44" s="132"/>
      <c r="CW44" s="132"/>
      <c r="CX44" s="132"/>
      <c r="CY44" s="132"/>
      <c r="CZ44" s="132"/>
      <c r="DA44" s="132"/>
      <c r="DB44" s="132"/>
      <c r="DC44" s="132"/>
      <c r="DD44" s="132"/>
      <c r="DE44" s="132"/>
      <c r="DF44" s="132"/>
      <c r="DG44" s="132"/>
      <c r="DH44" s="139"/>
      <c r="DI44" s="109"/>
      <c r="DJ44" s="109"/>
      <c r="DK44" s="109"/>
      <c r="DL44" s="109"/>
      <c r="DM44" s="109"/>
      <c r="DN44" s="109"/>
      <c r="DO44" s="109"/>
      <c r="DP44" s="109"/>
      <c r="DQ44" s="109"/>
      <c r="DR44" s="109"/>
      <c r="DS44" s="109"/>
      <c r="DT44" s="109"/>
      <c r="DU44" s="109"/>
      <c r="DV44" s="139"/>
      <c r="DW44" s="132"/>
      <c r="DX44" s="132"/>
      <c r="DY44" s="109"/>
      <c r="DZ44" s="133"/>
      <c r="EA44" s="109"/>
      <c r="EB44" s="133"/>
      <c r="EC44" s="132"/>
      <c r="ED44" s="132"/>
      <c r="EE44" s="132"/>
      <c r="EF44" s="132"/>
      <c r="EG44" s="132"/>
      <c r="EH44" s="132"/>
      <c r="EI44" s="132"/>
      <c r="EJ44" s="132"/>
      <c r="EK44" s="5">
        <f t="shared" si="5"/>
        <v>22</v>
      </c>
      <c r="EL44" s="5">
        <v>2</v>
      </c>
      <c r="EM44" s="5">
        <f t="shared" si="1"/>
        <v>24</v>
      </c>
      <c r="EN44" s="153">
        <v>3</v>
      </c>
      <c r="EO44" s="7">
        <f t="shared" si="2"/>
        <v>5</v>
      </c>
      <c r="EP44" s="40" t="str">
        <f t="shared" si="7"/>
        <v/>
      </c>
      <c r="EQ44" s="41" t="str">
        <f t="shared" si="6"/>
        <v/>
      </c>
      <c r="ET44" s="162" t="s">
        <v>368</v>
      </c>
    </row>
    <row r="45" spans="1:150" x14ac:dyDescent="0.25">
      <c r="A45" s="129" t="s">
        <v>374</v>
      </c>
      <c r="B45" s="129"/>
      <c r="C45" s="130">
        <v>39</v>
      </c>
      <c r="D45" s="177"/>
      <c r="E45" s="175">
        <v>0</v>
      </c>
      <c r="F45" s="132">
        <v>1</v>
      </c>
      <c r="G45" s="132">
        <v>1</v>
      </c>
      <c r="H45" s="132">
        <v>1</v>
      </c>
      <c r="I45" s="132">
        <v>1</v>
      </c>
      <c r="J45" s="132">
        <v>1</v>
      </c>
      <c r="K45" s="132">
        <v>1</v>
      </c>
      <c r="L45" s="132">
        <v>1</v>
      </c>
      <c r="M45" s="132">
        <v>1</v>
      </c>
      <c r="N45" s="132">
        <v>1</v>
      </c>
      <c r="O45" s="132"/>
      <c r="P45" s="132">
        <v>1</v>
      </c>
      <c r="Q45" s="176" t="s">
        <v>37</v>
      </c>
      <c r="R45" s="175"/>
      <c r="S45" s="132"/>
      <c r="T45" s="132">
        <v>1</v>
      </c>
      <c r="U45" s="176">
        <v>1</v>
      </c>
      <c r="V45" s="175">
        <v>1</v>
      </c>
      <c r="W45" s="132">
        <v>1</v>
      </c>
      <c r="X45" s="132">
        <v>1</v>
      </c>
      <c r="Y45" s="132">
        <v>1</v>
      </c>
      <c r="Z45" s="132">
        <v>1</v>
      </c>
      <c r="AA45" s="132">
        <v>1</v>
      </c>
      <c r="AB45" s="132">
        <v>1</v>
      </c>
      <c r="AC45" s="132">
        <v>1</v>
      </c>
      <c r="AD45" s="132"/>
      <c r="AE45" s="132"/>
      <c r="AF45" s="132">
        <v>1</v>
      </c>
      <c r="AG45" s="132"/>
      <c r="AH45" s="176"/>
      <c r="AI45" s="174"/>
      <c r="AJ45" s="132"/>
      <c r="AK45" s="132"/>
      <c r="AL45" s="132"/>
      <c r="AM45" s="132"/>
      <c r="AN45" s="132"/>
      <c r="AO45" s="139"/>
      <c r="AP45" s="132"/>
      <c r="AQ45" s="132"/>
      <c r="AR45" s="132"/>
      <c r="AS45" s="132"/>
      <c r="AT45" s="132"/>
      <c r="AU45" s="132"/>
      <c r="AV45" s="132"/>
      <c r="AW45" s="132"/>
      <c r="AX45" s="132"/>
      <c r="AY45" s="139"/>
      <c r="AZ45" s="132"/>
      <c r="BA45" s="132"/>
      <c r="BB45" s="132"/>
      <c r="BC45" s="132"/>
      <c r="BD45" s="132"/>
      <c r="BE45" s="132"/>
      <c r="BF45" s="132"/>
      <c r="BG45" s="132"/>
      <c r="BH45" s="132"/>
      <c r="BI45" s="132"/>
      <c r="BJ45" s="139"/>
      <c r="BK45" s="132"/>
      <c r="BL45" s="132"/>
      <c r="BM45" s="132"/>
      <c r="BN45" s="132"/>
      <c r="BO45" s="132"/>
      <c r="BP45" s="132"/>
      <c r="BQ45" s="132"/>
      <c r="BR45" s="132"/>
      <c r="BS45" s="132"/>
      <c r="BT45" s="132"/>
      <c r="BU45" s="132"/>
      <c r="BV45" s="132"/>
      <c r="BW45" s="132"/>
      <c r="BX45" s="132"/>
      <c r="BY45" s="139"/>
      <c r="BZ45" s="132"/>
      <c r="CA45" s="132"/>
      <c r="CB45" s="132"/>
      <c r="CC45" s="132"/>
      <c r="CD45" s="132"/>
      <c r="CE45" s="132"/>
      <c r="CF45" s="132"/>
      <c r="CG45" s="132"/>
      <c r="CH45" s="132"/>
      <c r="CI45" s="132"/>
      <c r="CJ45" s="139"/>
      <c r="CK45" s="132"/>
      <c r="CL45" s="132"/>
      <c r="CM45" s="132"/>
      <c r="CN45" s="132"/>
      <c r="CO45" s="132"/>
      <c r="CP45" s="132"/>
      <c r="CQ45" s="132"/>
      <c r="CR45" s="132"/>
      <c r="CS45" s="132"/>
      <c r="CT45" s="139"/>
      <c r="CU45" s="132"/>
      <c r="CV45" s="132"/>
      <c r="CW45" s="132"/>
      <c r="CX45" s="132"/>
      <c r="CY45" s="132"/>
      <c r="CZ45" s="132"/>
      <c r="DA45" s="132"/>
      <c r="DB45" s="132"/>
      <c r="DC45" s="132"/>
      <c r="DD45" s="132"/>
      <c r="DE45" s="132"/>
      <c r="DF45" s="132"/>
      <c r="DG45" s="132"/>
      <c r="DH45" s="139"/>
      <c r="DI45" s="109"/>
      <c r="DJ45" s="109"/>
      <c r="DK45" s="109"/>
      <c r="DL45" s="109"/>
      <c r="DM45" s="109"/>
      <c r="DN45" s="109"/>
      <c r="DO45" s="109"/>
      <c r="DP45" s="109"/>
      <c r="DQ45" s="109"/>
      <c r="DR45" s="109"/>
      <c r="DS45" s="109"/>
      <c r="DT45" s="109"/>
      <c r="DU45" s="109"/>
      <c r="DV45" s="139"/>
      <c r="DW45" s="109"/>
      <c r="DX45" s="109"/>
      <c r="DY45" s="109"/>
      <c r="DZ45" s="133"/>
      <c r="EA45" s="109"/>
      <c r="EB45" s="133"/>
      <c r="EC45" s="109"/>
      <c r="ED45" s="109"/>
      <c r="EE45" s="132"/>
      <c r="EF45" s="132"/>
      <c r="EG45" s="132"/>
      <c r="EH45" s="132"/>
      <c r="EI45" s="132"/>
      <c r="EJ45" s="132"/>
      <c r="EK45" s="5">
        <f t="shared" si="5"/>
        <v>21</v>
      </c>
      <c r="EL45" s="5">
        <v>2</v>
      </c>
      <c r="EM45" s="5">
        <f t="shared" si="1"/>
        <v>24</v>
      </c>
      <c r="EN45" s="153">
        <v>5</v>
      </c>
      <c r="EO45" s="7">
        <f t="shared" si="2"/>
        <v>8</v>
      </c>
      <c r="EP45" s="40" t="str">
        <f t="shared" si="7"/>
        <v/>
      </c>
      <c r="EQ45" s="41" t="str">
        <f t="shared" si="6"/>
        <v/>
      </c>
      <c r="ET45" s="162" t="s">
        <v>374</v>
      </c>
    </row>
    <row r="46" spans="1:150" x14ac:dyDescent="0.25">
      <c r="A46" s="129" t="s">
        <v>380</v>
      </c>
      <c r="B46" s="129"/>
      <c r="C46" s="130">
        <v>40</v>
      </c>
      <c r="D46" s="177"/>
      <c r="E46" s="175" t="s">
        <v>37</v>
      </c>
      <c r="F46" s="132" t="s">
        <v>37</v>
      </c>
      <c r="G46" s="132" t="s">
        <v>37</v>
      </c>
      <c r="H46" s="132" t="s">
        <v>37</v>
      </c>
      <c r="I46" s="132">
        <v>1</v>
      </c>
      <c r="J46" s="132">
        <v>1</v>
      </c>
      <c r="K46" s="132">
        <v>1</v>
      </c>
      <c r="L46" s="132">
        <v>1</v>
      </c>
      <c r="M46" s="132">
        <v>1</v>
      </c>
      <c r="N46" s="132">
        <v>1</v>
      </c>
      <c r="O46" s="132">
        <v>1</v>
      </c>
      <c r="P46" s="132"/>
      <c r="Q46" s="176" t="s">
        <v>37</v>
      </c>
      <c r="R46" s="175"/>
      <c r="S46" s="132"/>
      <c r="T46" s="132">
        <v>1</v>
      </c>
      <c r="U46" s="176"/>
      <c r="V46" s="175"/>
      <c r="W46" s="132">
        <v>1</v>
      </c>
      <c r="X46" s="132"/>
      <c r="Y46" s="132">
        <v>1</v>
      </c>
      <c r="Z46" s="132"/>
      <c r="AA46" s="132"/>
      <c r="AB46" s="132"/>
      <c r="AC46" s="132"/>
      <c r="AD46" s="132">
        <v>1</v>
      </c>
      <c r="AE46" s="132">
        <v>1</v>
      </c>
      <c r="AF46" s="132"/>
      <c r="AG46" s="132"/>
      <c r="AH46" s="176"/>
      <c r="AI46" s="174"/>
      <c r="AJ46" s="132"/>
      <c r="AK46" s="132"/>
      <c r="AL46" s="132"/>
      <c r="AM46" s="132"/>
      <c r="AN46" s="132"/>
      <c r="AO46" s="139"/>
      <c r="AP46" s="132"/>
      <c r="AQ46" s="132"/>
      <c r="AR46" s="132"/>
      <c r="AS46" s="132"/>
      <c r="AT46" s="132"/>
      <c r="AU46" s="132"/>
      <c r="AV46" s="132"/>
      <c r="AW46" s="132"/>
      <c r="AX46" s="132"/>
      <c r="AY46" s="139"/>
      <c r="AZ46" s="132"/>
      <c r="BA46" s="132"/>
      <c r="BB46" s="132"/>
      <c r="BC46" s="132"/>
      <c r="BD46" s="132"/>
      <c r="BE46" s="132"/>
      <c r="BF46" s="132"/>
      <c r="BG46" s="132"/>
      <c r="BH46" s="132"/>
      <c r="BI46" s="132"/>
      <c r="BJ46" s="139"/>
      <c r="BK46" s="132"/>
      <c r="BL46" s="132"/>
      <c r="BM46" s="132"/>
      <c r="BN46" s="132"/>
      <c r="BO46" s="132"/>
      <c r="BP46" s="132"/>
      <c r="BQ46" s="132"/>
      <c r="BR46" s="132"/>
      <c r="BS46" s="132"/>
      <c r="BT46" s="132"/>
      <c r="BU46" s="132"/>
      <c r="BV46" s="132"/>
      <c r="BW46" s="132"/>
      <c r="BX46" s="132"/>
      <c r="BY46" s="139"/>
      <c r="BZ46" s="132"/>
      <c r="CA46" s="132"/>
      <c r="CB46" s="132"/>
      <c r="CC46" s="132"/>
      <c r="CD46" s="132"/>
      <c r="CE46" s="132"/>
      <c r="CF46" s="132"/>
      <c r="CG46" s="132"/>
      <c r="CH46" s="132"/>
      <c r="CI46" s="132"/>
      <c r="CJ46" s="139"/>
      <c r="CK46" s="132"/>
      <c r="CL46" s="132"/>
      <c r="CM46" s="132"/>
      <c r="CN46" s="132"/>
      <c r="CO46" s="132"/>
      <c r="CP46" s="132"/>
      <c r="CQ46" s="132"/>
      <c r="CR46" s="132"/>
      <c r="CS46" s="132"/>
      <c r="CT46" s="139"/>
      <c r="CU46" s="132"/>
      <c r="CV46" s="132"/>
      <c r="CW46" s="132"/>
      <c r="CX46" s="132"/>
      <c r="CY46" s="132"/>
      <c r="CZ46" s="132"/>
      <c r="DA46" s="132"/>
      <c r="DB46" s="132"/>
      <c r="DC46" s="132"/>
      <c r="DD46" s="132"/>
      <c r="DE46" s="132"/>
      <c r="DF46" s="132"/>
      <c r="DG46" s="132"/>
      <c r="DH46" s="139"/>
      <c r="DI46" s="109"/>
      <c r="DJ46" s="109"/>
      <c r="DK46" s="109"/>
      <c r="DL46" s="109"/>
      <c r="DM46" s="109"/>
      <c r="DN46" s="109"/>
      <c r="DO46" s="109"/>
      <c r="DP46" s="109"/>
      <c r="DQ46" s="109"/>
      <c r="DR46" s="109"/>
      <c r="DS46" s="109"/>
      <c r="DT46" s="109"/>
      <c r="DU46" s="109"/>
      <c r="DV46" s="139"/>
      <c r="DW46" s="109"/>
      <c r="DX46" s="109"/>
      <c r="DY46" s="109"/>
      <c r="DZ46" s="133"/>
      <c r="EA46" s="109"/>
      <c r="EB46" s="133"/>
      <c r="EC46" s="109"/>
      <c r="ED46" s="109"/>
      <c r="EE46" s="132"/>
      <c r="EF46" s="132"/>
      <c r="EG46" s="132"/>
      <c r="EH46" s="132"/>
      <c r="EI46" s="132"/>
      <c r="EJ46" s="132"/>
      <c r="EK46" s="5">
        <f t="shared" ref="EK46:EK57" si="8">SUM(E46:EJ46)</f>
        <v>12</v>
      </c>
      <c r="EL46" s="5">
        <v>1</v>
      </c>
      <c r="EM46" s="5">
        <f t="shared" ref="EM46:EM47" si="9">EL46*12</f>
        <v>12</v>
      </c>
      <c r="EN46" s="153">
        <v>0</v>
      </c>
      <c r="EO46" s="7">
        <f t="shared" ref="EO46:EO47" si="10">EM46-EK46+EN46</f>
        <v>0</v>
      </c>
      <c r="EP46" s="40" t="str">
        <f t="shared" ref="EP46:EP74" si="11">IF(EO46&gt;0, "","NO")</f>
        <v>NO</v>
      </c>
      <c r="EQ46" s="41" t="str">
        <f t="shared" si="6"/>
        <v>مروان يحيئ</v>
      </c>
      <c r="ET46" s="162" t="s">
        <v>380</v>
      </c>
    </row>
    <row r="47" spans="1:150" x14ac:dyDescent="0.25">
      <c r="A47" s="129" t="s">
        <v>381</v>
      </c>
      <c r="B47" s="129"/>
      <c r="C47" s="130">
        <v>41</v>
      </c>
      <c r="D47" s="177"/>
      <c r="E47" s="175" t="s">
        <v>37</v>
      </c>
      <c r="F47" s="132" t="s">
        <v>37</v>
      </c>
      <c r="G47" s="132" t="s">
        <v>37</v>
      </c>
      <c r="H47" s="132" t="s">
        <v>37</v>
      </c>
      <c r="I47" s="132">
        <v>1</v>
      </c>
      <c r="J47" s="132">
        <v>1</v>
      </c>
      <c r="K47" s="132">
        <v>1</v>
      </c>
      <c r="L47" s="132">
        <v>1</v>
      </c>
      <c r="M47" s="132">
        <v>1</v>
      </c>
      <c r="N47" s="132">
        <v>1</v>
      </c>
      <c r="O47" s="132">
        <v>1</v>
      </c>
      <c r="P47" s="132"/>
      <c r="Q47" s="176" t="s">
        <v>37</v>
      </c>
      <c r="R47" s="175"/>
      <c r="S47" s="132"/>
      <c r="T47" s="132">
        <v>1</v>
      </c>
      <c r="U47" s="176"/>
      <c r="V47" s="175"/>
      <c r="W47" s="132">
        <v>1</v>
      </c>
      <c r="X47" s="132"/>
      <c r="Y47" s="132">
        <v>1</v>
      </c>
      <c r="Z47" s="132"/>
      <c r="AA47" s="132"/>
      <c r="AB47" s="132"/>
      <c r="AC47" s="132"/>
      <c r="AD47" s="132">
        <v>1</v>
      </c>
      <c r="AE47" s="132">
        <v>1</v>
      </c>
      <c r="AF47" s="132"/>
      <c r="AG47" s="132"/>
      <c r="AH47" s="176"/>
      <c r="AI47" s="174"/>
      <c r="AJ47" s="132"/>
      <c r="AK47" s="132"/>
      <c r="AL47" s="132"/>
      <c r="AM47" s="132"/>
      <c r="AN47" s="132"/>
      <c r="AO47" s="139"/>
      <c r="AP47" s="132"/>
      <c r="AQ47" s="132"/>
      <c r="AR47" s="132"/>
      <c r="AS47" s="132"/>
      <c r="AT47" s="132"/>
      <c r="AU47" s="132"/>
      <c r="AV47" s="132"/>
      <c r="AW47" s="132"/>
      <c r="AX47" s="132"/>
      <c r="AY47" s="139"/>
      <c r="AZ47" s="132"/>
      <c r="BA47" s="132"/>
      <c r="BB47" s="132"/>
      <c r="BC47" s="132"/>
      <c r="BD47" s="132"/>
      <c r="BE47" s="132"/>
      <c r="BF47" s="132"/>
      <c r="BG47" s="132"/>
      <c r="BH47" s="132"/>
      <c r="BI47" s="132"/>
      <c r="BJ47" s="139"/>
      <c r="BK47" s="132"/>
      <c r="BL47" s="132"/>
      <c r="BM47" s="132"/>
      <c r="BN47" s="132"/>
      <c r="BO47" s="132"/>
      <c r="BP47" s="132"/>
      <c r="BQ47" s="132"/>
      <c r="BR47" s="132"/>
      <c r="BS47" s="132"/>
      <c r="BT47" s="132"/>
      <c r="BU47" s="132"/>
      <c r="BV47" s="132"/>
      <c r="BW47" s="132"/>
      <c r="BX47" s="132"/>
      <c r="BY47" s="139"/>
      <c r="BZ47" s="132"/>
      <c r="CA47" s="132"/>
      <c r="CB47" s="132"/>
      <c r="CC47" s="132"/>
      <c r="CD47" s="132"/>
      <c r="CE47" s="132"/>
      <c r="CF47" s="132"/>
      <c r="CG47" s="132"/>
      <c r="CH47" s="132"/>
      <c r="CI47" s="132"/>
      <c r="CJ47" s="139"/>
      <c r="CK47" s="132"/>
      <c r="CL47" s="132"/>
      <c r="CM47" s="132"/>
      <c r="CN47" s="132"/>
      <c r="CO47" s="132"/>
      <c r="CP47" s="132"/>
      <c r="CQ47" s="132"/>
      <c r="CR47" s="132"/>
      <c r="CS47" s="132"/>
      <c r="CT47" s="139"/>
      <c r="CU47" s="132"/>
      <c r="CV47" s="132"/>
      <c r="CW47" s="132"/>
      <c r="CX47" s="132"/>
      <c r="CY47" s="132"/>
      <c r="CZ47" s="132"/>
      <c r="DA47" s="132"/>
      <c r="DB47" s="132"/>
      <c r="DC47" s="132"/>
      <c r="DD47" s="132"/>
      <c r="DE47" s="132"/>
      <c r="DF47" s="132"/>
      <c r="DG47" s="132"/>
      <c r="DH47" s="139"/>
      <c r="DI47" s="109"/>
      <c r="DJ47" s="109"/>
      <c r="DK47" s="109"/>
      <c r="DL47" s="109"/>
      <c r="DM47" s="109"/>
      <c r="DN47" s="109"/>
      <c r="DO47" s="109"/>
      <c r="DP47" s="109"/>
      <c r="DQ47" s="109"/>
      <c r="DR47" s="109"/>
      <c r="DS47" s="109"/>
      <c r="DT47" s="109"/>
      <c r="DU47" s="109"/>
      <c r="DV47" s="139"/>
      <c r="DW47" s="109"/>
      <c r="DX47" s="109"/>
      <c r="DY47" s="109"/>
      <c r="DZ47" s="133"/>
      <c r="EA47" s="109"/>
      <c r="EB47" s="133"/>
      <c r="EC47" s="109"/>
      <c r="ED47" s="109"/>
      <c r="EE47" s="132"/>
      <c r="EF47" s="132"/>
      <c r="EG47" s="132"/>
      <c r="EH47" s="132"/>
      <c r="EI47" s="132"/>
      <c r="EJ47" s="132"/>
      <c r="EK47" s="5">
        <f t="shared" si="8"/>
        <v>12</v>
      </c>
      <c r="EL47" s="5">
        <v>1</v>
      </c>
      <c r="EM47" s="5">
        <f t="shared" si="9"/>
        <v>12</v>
      </c>
      <c r="EN47" s="153">
        <v>0</v>
      </c>
      <c r="EO47" s="7">
        <f t="shared" si="10"/>
        <v>0</v>
      </c>
      <c r="EP47" s="40" t="str">
        <f t="shared" si="11"/>
        <v>NO</v>
      </c>
      <c r="EQ47" s="41" t="str">
        <f t="shared" si="6"/>
        <v>مروان مزيان أسامة</v>
      </c>
      <c r="ET47" s="162" t="s">
        <v>381</v>
      </c>
    </row>
    <row r="48" spans="1:150" x14ac:dyDescent="0.25">
      <c r="A48" s="129" t="s">
        <v>389</v>
      </c>
      <c r="B48" s="129"/>
      <c r="C48" s="130">
        <v>42</v>
      </c>
      <c r="D48" s="177"/>
      <c r="E48" s="175" t="s">
        <v>37</v>
      </c>
      <c r="F48" s="132" t="s">
        <v>37</v>
      </c>
      <c r="G48" s="132" t="s">
        <v>37</v>
      </c>
      <c r="H48" s="132" t="s">
        <v>37</v>
      </c>
      <c r="I48" s="132" t="s">
        <v>37</v>
      </c>
      <c r="J48" s="132" t="s">
        <v>37</v>
      </c>
      <c r="K48" s="132" t="s">
        <v>37</v>
      </c>
      <c r="L48" s="132" t="s">
        <v>37</v>
      </c>
      <c r="M48" s="132">
        <v>1</v>
      </c>
      <c r="N48" s="132">
        <v>1</v>
      </c>
      <c r="O48" s="132">
        <v>1</v>
      </c>
      <c r="P48" s="132">
        <v>1</v>
      </c>
      <c r="Q48" s="176">
        <v>1</v>
      </c>
      <c r="R48" s="175">
        <v>1</v>
      </c>
      <c r="S48" s="132">
        <v>1</v>
      </c>
      <c r="T48" s="132">
        <v>1</v>
      </c>
      <c r="U48" s="176">
        <v>1</v>
      </c>
      <c r="V48" s="175">
        <v>1</v>
      </c>
      <c r="W48" s="132"/>
      <c r="X48" s="132">
        <v>1</v>
      </c>
      <c r="Y48" s="132"/>
      <c r="Z48" s="132"/>
      <c r="AA48" s="132"/>
      <c r="AB48" s="132"/>
      <c r="AC48" s="132">
        <v>1</v>
      </c>
      <c r="AD48" s="132">
        <v>1</v>
      </c>
      <c r="AE48" s="132">
        <v>1</v>
      </c>
      <c r="AF48" s="132">
        <v>1</v>
      </c>
      <c r="AG48" s="132">
        <v>1</v>
      </c>
      <c r="AH48" s="176"/>
      <c r="AI48" s="174"/>
      <c r="AJ48" s="132"/>
      <c r="AK48" s="132"/>
      <c r="AL48" s="132"/>
      <c r="AM48" s="132"/>
      <c r="AN48" s="132"/>
      <c r="AO48" s="139"/>
      <c r="AP48" s="132"/>
      <c r="AQ48" s="132"/>
      <c r="AR48" s="132"/>
      <c r="AS48" s="132"/>
      <c r="AT48" s="132"/>
      <c r="AU48" s="132"/>
      <c r="AV48" s="132"/>
      <c r="AW48" s="132"/>
      <c r="AX48" s="132"/>
      <c r="AY48" s="139"/>
      <c r="AZ48" s="132"/>
      <c r="BA48" s="132"/>
      <c r="BB48" s="132"/>
      <c r="BC48" s="132"/>
      <c r="BD48" s="132"/>
      <c r="BE48" s="132"/>
      <c r="BF48" s="132"/>
      <c r="BG48" s="132"/>
      <c r="BH48" s="132"/>
      <c r="BI48" s="132"/>
      <c r="BJ48" s="139"/>
      <c r="BK48" s="132"/>
      <c r="BL48" s="132"/>
      <c r="BM48" s="132"/>
      <c r="BN48" s="132"/>
      <c r="BO48" s="132"/>
      <c r="BP48" s="132"/>
      <c r="BQ48" s="132"/>
      <c r="BR48" s="132"/>
      <c r="BS48" s="132"/>
      <c r="BT48" s="132"/>
      <c r="BU48" s="132"/>
      <c r="BV48" s="132"/>
      <c r="BW48" s="132"/>
      <c r="BX48" s="132"/>
      <c r="BY48" s="139"/>
      <c r="BZ48" s="132"/>
      <c r="CA48" s="132"/>
      <c r="CB48" s="132"/>
      <c r="CC48" s="132"/>
      <c r="CD48" s="132"/>
      <c r="CE48" s="132"/>
      <c r="CF48" s="132"/>
      <c r="CG48" s="132"/>
      <c r="CH48" s="132"/>
      <c r="CI48" s="132"/>
      <c r="CJ48" s="139"/>
      <c r="CK48" s="132"/>
      <c r="CL48" s="132"/>
      <c r="CM48" s="132"/>
      <c r="CN48" s="132"/>
      <c r="CO48" s="132"/>
      <c r="CP48" s="132"/>
      <c r="CQ48" s="132"/>
      <c r="CR48" s="132"/>
      <c r="CS48" s="132"/>
      <c r="CT48" s="139"/>
      <c r="CU48" s="132"/>
      <c r="CV48" s="132"/>
      <c r="CW48" s="132"/>
      <c r="CX48" s="132"/>
      <c r="CY48" s="132"/>
      <c r="CZ48" s="132"/>
      <c r="DA48" s="132"/>
      <c r="DB48" s="132"/>
      <c r="DC48" s="132"/>
      <c r="DD48" s="132"/>
      <c r="DE48" s="132"/>
      <c r="DF48" s="132"/>
      <c r="DG48" s="132"/>
      <c r="DH48" s="139"/>
      <c r="DI48" s="109"/>
      <c r="DJ48" s="109"/>
      <c r="DK48" s="109"/>
      <c r="DL48" s="109"/>
      <c r="DM48" s="109"/>
      <c r="DN48" s="109"/>
      <c r="DO48" s="109"/>
      <c r="DP48" s="109"/>
      <c r="DQ48" s="109"/>
      <c r="DR48" s="109"/>
      <c r="DS48" s="109"/>
      <c r="DT48" s="109"/>
      <c r="DU48" s="109"/>
      <c r="DV48" s="139"/>
      <c r="DW48" s="109"/>
      <c r="DX48" s="109"/>
      <c r="DY48" s="109"/>
      <c r="DZ48" s="133"/>
      <c r="EA48" s="109"/>
      <c r="EB48" s="133"/>
      <c r="EC48" s="109"/>
      <c r="ED48" s="109"/>
      <c r="EE48" s="132"/>
      <c r="EF48" s="132"/>
      <c r="EG48" s="132"/>
      <c r="EH48" s="132"/>
      <c r="EI48" s="132"/>
      <c r="EJ48" s="132"/>
      <c r="EK48" s="5">
        <f t="shared" si="8"/>
        <v>16</v>
      </c>
      <c r="EL48" s="5">
        <v>2</v>
      </c>
      <c r="EM48" s="5">
        <f t="shared" ref="EM48:EM57" si="12">EL48*12</f>
        <v>24</v>
      </c>
      <c r="EN48" s="153">
        <v>0</v>
      </c>
      <c r="EO48" s="7">
        <f t="shared" ref="EO48:EO83" si="13">EM48-EK48+EN48</f>
        <v>8</v>
      </c>
      <c r="EP48" s="40" t="str">
        <f t="shared" ref="EP48:EP83" si="14">IF(EO48&gt;0, "","NO")</f>
        <v/>
      </c>
      <c r="EQ48" s="41" t="str">
        <f t="shared" ref="EQ48:EQ83" si="15">IF(EO48&gt;0, "", A48)</f>
        <v/>
      </c>
      <c r="ET48" s="129" t="s">
        <v>389</v>
      </c>
    </row>
    <row r="49" spans="1:150" x14ac:dyDescent="0.25">
      <c r="A49" s="129" t="s">
        <v>390</v>
      </c>
      <c r="B49" s="129"/>
      <c r="C49" s="130">
        <v>43</v>
      </c>
      <c r="D49" s="177"/>
      <c r="E49" s="175" t="s">
        <v>37</v>
      </c>
      <c r="F49" s="132" t="s">
        <v>37</v>
      </c>
      <c r="G49" s="132" t="s">
        <v>37</v>
      </c>
      <c r="H49" s="132" t="s">
        <v>37</v>
      </c>
      <c r="I49" s="132" t="s">
        <v>37</v>
      </c>
      <c r="J49" s="132" t="s">
        <v>37</v>
      </c>
      <c r="K49" s="132" t="s">
        <v>37</v>
      </c>
      <c r="L49" s="132" t="s">
        <v>37</v>
      </c>
      <c r="M49" s="132">
        <v>1</v>
      </c>
      <c r="N49" s="132">
        <v>1</v>
      </c>
      <c r="O49" s="132">
        <v>1</v>
      </c>
      <c r="P49" s="132">
        <v>1</v>
      </c>
      <c r="Q49" s="176">
        <v>1</v>
      </c>
      <c r="R49" s="175">
        <v>1</v>
      </c>
      <c r="S49" s="132">
        <v>1</v>
      </c>
      <c r="T49" s="132">
        <v>1</v>
      </c>
      <c r="U49" s="176">
        <v>1</v>
      </c>
      <c r="V49" s="175">
        <v>1</v>
      </c>
      <c r="W49" s="132">
        <v>1</v>
      </c>
      <c r="X49" s="132">
        <v>1</v>
      </c>
      <c r="Y49" s="132"/>
      <c r="Z49" s="132">
        <v>1</v>
      </c>
      <c r="AA49" s="132">
        <v>1</v>
      </c>
      <c r="AB49" s="132">
        <v>1</v>
      </c>
      <c r="AC49" s="132">
        <v>1</v>
      </c>
      <c r="AD49" s="132">
        <v>1</v>
      </c>
      <c r="AE49" s="132">
        <v>1</v>
      </c>
      <c r="AF49" s="132"/>
      <c r="AG49" s="132">
        <v>1</v>
      </c>
      <c r="AH49" s="176"/>
      <c r="AI49" s="174"/>
      <c r="AJ49" s="132"/>
      <c r="AK49" s="132"/>
      <c r="AL49" s="132"/>
      <c r="AM49" s="132"/>
      <c r="AN49" s="132"/>
      <c r="AO49" s="139"/>
      <c r="AP49" s="132"/>
      <c r="AQ49" s="132"/>
      <c r="AR49" s="132"/>
      <c r="AS49" s="132"/>
      <c r="AT49" s="132"/>
      <c r="AU49" s="132"/>
      <c r="AV49" s="132"/>
      <c r="AW49" s="132"/>
      <c r="AX49" s="132"/>
      <c r="AY49" s="139"/>
      <c r="AZ49" s="132"/>
      <c r="BA49" s="132"/>
      <c r="BB49" s="132"/>
      <c r="BC49" s="132"/>
      <c r="BD49" s="132"/>
      <c r="BE49" s="132"/>
      <c r="BF49" s="132"/>
      <c r="BG49" s="132"/>
      <c r="BH49" s="132"/>
      <c r="BI49" s="132"/>
      <c r="BJ49" s="139"/>
      <c r="BK49" s="132"/>
      <c r="BL49" s="132"/>
      <c r="BM49" s="132"/>
      <c r="BN49" s="132"/>
      <c r="BO49" s="132"/>
      <c r="BP49" s="132"/>
      <c r="BQ49" s="132"/>
      <c r="BR49" s="132"/>
      <c r="BS49" s="132"/>
      <c r="BT49" s="132"/>
      <c r="BU49" s="132"/>
      <c r="BV49" s="132"/>
      <c r="BW49" s="132"/>
      <c r="BX49" s="132"/>
      <c r="BY49" s="139"/>
      <c r="BZ49" s="132"/>
      <c r="CA49" s="132"/>
      <c r="CB49" s="132"/>
      <c r="CC49" s="132"/>
      <c r="CD49" s="132"/>
      <c r="CE49" s="132"/>
      <c r="CF49" s="132"/>
      <c r="CG49" s="132"/>
      <c r="CH49" s="132"/>
      <c r="CI49" s="132"/>
      <c r="CJ49" s="139"/>
      <c r="CK49" s="132"/>
      <c r="CL49" s="132"/>
      <c r="CM49" s="132"/>
      <c r="CN49" s="132"/>
      <c r="CO49" s="132"/>
      <c r="CP49" s="132"/>
      <c r="CQ49" s="132"/>
      <c r="CR49" s="132"/>
      <c r="CS49" s="132"/>
      <c r="CT49" s="139"/>
      <c r="CU49" s="132"/>
      <c r="CV49" s="132"/>
      <c r="CW49" s="132"/>
      <c r="CX49" s="132"/>
      <c r="CY49" s="132"/>
      <c r="CZ49" s="132"/>
      <c r="DA49" s="132"/>
      <c r="DB49" s="132"/>
      <c r="DC49" s="132"/>
      <c r="DD49" s="132"/>
      <c r="DE49" s="132"/>
      <c r="DF49" s="132"/>
      <c r="DG49" s="132"/>
      <c r="DH49" s="139"/>
      <c r="DI49" s="109"/>
      <c r="DJ49" s="109"/>
      <c r="DK49" s="109"/>
      <c r="DL49" s="109"/>
      <c r="DM49" s="109"/>
      <c r="DN49" s="109"/>
      <c r="DO49" s="109"/>
      <c r="DP49" s="109"/>
      <c r="DQ49" s="109"/>
      <c r="DR49" s="109"/>
      <c r="DS49" s="109"/>
      <c r="DT49" s="109"/>
      <c r="DU49" s="109"/>
      <c r="DV49" s="139"/>
      <c r="DW49" s="109"/>
      <c r="DX49" s="109"/>
      <c r="DY49" s="109"/>
      <c r="DZ49" s="133"/>
      <c r="EA49" s="109"/>
      <c r="EB49" s="133"/>
      <c r="EC49" s="109"/>
      <c r="ED49" s="109"/>
      <c r="EE49" s="132"/>
      <c r="EF49" s="132"/>
      <c r="EG49" s="132"/>
      <c r="EH49" s="132"/>
      <c r="EI49" s="132"/>
      <c r="EJ49" s="132"/>
      <c r="EK49" s="5">
        <f t="shared" si="8"/>
        <v>19</v>
      </c>
      <c r="EL49" s="5">
        <v>2</v>
      </c>
      <c r="EM49" s="5">
        <f t="shared" si="12"/>
        <v>24</v>
      </c>
      <c r="EN49" s="153">
        <v>0</v>
      </c>
      <c r="EO49" s="7">
        <f t="shared" si="13"/>
        <v>5</v>
      </c>
      <c r="EP49" s="40" t="str">
        <f t="shared" si="14"/>
        <v/>
      </c>
      <c r="EQ49" s="41" t="str">
        <f t="shared" si="15"/>
        <v/>
      </c>
      <c r="ET49" s="129" t="s">
        <v>390</v>
      </c>
    </row>
    <row r="50" spans="1:150" x14ac:dyDescent="0.25">
      <c r="A50" s="129" t="s">
        <v>395</v>
      </c>
      <c r="B50" s="129"/>
      <c r="C50" s="130">
        <v>44</v>
      </c>
      <c r="D50" s="177"/>
      <c r="E50" s="175" t="s">
        <v>37</v>
      </c>
      <c r="F50" s="132" t="s">
        <v>37</v>
      </c>
      <c r="G50" s="132" t="s">
        <v>37</v>
      </c>
      <c r="H50" s="132" t="s">
        <v>37</v>
      </c>
      <c r="I50" s="132" t="s">
        <v>37</v>
      </c>
      <c r="J50" s="132" t="s">
        <v>37</v>
      </c>
      <c r="K50" s="132" t="s">
        <v>37</v>
      </c>
      <c r="L50" s="132" t="s">
        <v>37</v>
      </c>
      <c r="M50" s="132" t="s">
        <v>37</v>
      </c>
      <c r="N50" s="132" t="s">
        <v>37</v>
      </c>
      <c r="O50" s="132" t="s">
        <v>37</v>
      </c>
      <c r="P50" s="132" t="s">
        <v>37</v>
      </c>
      <c r="Q50" s="176" t="s">
        <v>37</v>
      </c>
      <c r="R50" s="175">
        <v>1</v>
      </c>
      <c r="S50" s="132">
        <v>1</v>
      </c>
      <c r="T50" s="132"/>
      <c r="U50" s="176"/>
      <c r="V50" s="175"/>
      <c r="W50" s="132">
        <v>1</v>
      </c>
      <c r="X50" s="132"/>
      <c r="Y50" s="132"/>
      <c r="Z50" s="132">
        <v>1</v>
      </c>
      <c r="AA50" s="132"/>
      <c r="AB50" s="132"/>
      <c r="AC50" s="132"/>
      <c r="AD50" s="132"/>
      <c r="AE50" s="132"/>
      <c r="AF50" s="132"/>
      <c r="AG50" s="132"/>
      <c r="AH50" s="176"/>
      <c r="AI50" s="174"/>
      <c r="AJ50" s="132"/>
      <c r="AK50" s="132"/>
      <c r="AL50" s="132"/>
      <c r="AM50" s="132"/>
      <c r="AN50" s="132"/>
      <c r="AO50" s="139"/>
      <c r="AP50" s="132"/>
      <c r="AQ50" s="132"/>
      <c r="AR50" s="132"/>
      <c r="AS50" s="132"/>
      <c r="AT50" s="132"/>
      <c r="AU50" s="132"/>
      <c r="AV50" s="132"/>
      <c r="AW50" s="132"/>
      <c r="AX50" s="132"/>
      <c r="AY50" s="139"/>
      <c r="AZ50" s="132"/>
      <c r="BA50" s="132"/>
      <c r="BB50" s="132"/>
      <c r="BC50" s="132"/>
      <c r="BD50" s="132"/>
      <c r="BE50" s="132"/>
      <c r="BF50" s="132"/>
      <c r="BG50" s="132"/>
      <c r="BH50" s="132"/>
      <c r="BI50" s="132"/>
      <c r="BJ50" s="139"/>
      <c r="BK50" s="132"/>
      <c r="BL50" s="132"/>
      <c r="BM50" s="132"/>
      <c r="BN50" s="132"/>
      <c r="BO50" s="132"/>
      <c r="BP50" s="132"/>
      <c r="BQ50" s="132"/>
      <c r="BR50" s="132"/>
      <c r="BS50" s="132"/>
      <c r="BT50" s="132"/>
      <c r="BU50" s="132"/>
      <c r="BV50" s="132"/>
      <c r="BW50" s="132"/>
      <c r="BX50" s="132"/>
      <c r="BY50" s="139"/>
      <c r="BZ50" s="132"/>
      <c r="CA50" s="132"/>
      <c r="CB50" s="132"/>
      <c r="CC50" s="132"/>
      <c r="CD50" s="132"/>
      <c r="CE50" s="132"/>
      <c r="CF50" s="132"/>
      <c r="CG50" s="132"/>
      <c r="CH50" s="132"/>
      <c r="CI50" s="132"/>
      <c r="CJ50" s="139"/>
      <c r="CK50" s="132"/>
      <c r="CL50" s="132"/>
      <c r="CM50" s="132"/>
      <c r="CN50" s="132"/>
      <c r="CO50" s="132"/>
      <c r="CP50" s="132"/>
      <c r="CQ50" s="132"/>
      <c r="CR50" s="132"/>
      <c r="CS50" s="132"/>
      <c r="CT50" s="139"/>
      <c r="CU50" s="132"/>
      <c r="CV50" s="132"/>
      <c r="CW50" s="132"/>
      <c r="CX50" s="132"/>
      <c r="CY50" s="132"/>
      <c r="CZ50" s="132"/>
      <c r="DA50" s="132"/>
      <c r="DB50" s="132"/>
      <c r="DC50" s="132"/>
      <c r="DD50" s="132"/>
      <c r="DE50" s="132"/>
      <c r="DF50" s="132"/>
      <c r="DG50" s="132"/>
      <c r="DH50" s="139"/>
      <c r="DI50" s="109"/>
      <c r="DJ50" s="109"/>
      <c r="DK50" s="109"/>
      <c r="DL50" s="109"/>
      <c r="DM50" s="109"/>
      <c r="DN50" s="109"/>
      <c r="DO50" s="109"/>
      <c r="DP50" s="109"/>
      <c r="DQ50" s="109"/>
      <c r="DR50" s="109"/>
      <c r="DS50" s="109"/>
      <c r="DT50" s="109"/>
      <c r="DU50" s="109"/>
      <c r="DV50" s="139"/>
      <c r="DW50" s="109"/>
      <c r="DX50" s="109"/>
      <c r="DY50" s="109"/>
      <c r="DZ50" s="133"/>
      <c r="EA50" s="109"/>
      <c r="EB50" s="133"/>
      <c r="EC50" s="109"/>
      <c r="ED50" s="109"/>
      <c r="EE50" s="132"/>
      <c r="EF50" s="132"/>
      <c r="EG50" s="132"/>
      <c r="EH50" s="132"/>
      <c r="EI50" s="132"/>
      <c r="EJ50" s="132"/>
      <c r="EK50" s="5">
        <f t="shared" si="8"/>
        <v>4</v>
      </c>
      <c r="EL50" s="5">
        <v>1</v>
      </c>
      <c r="EM50" s="5">
        <f t="shared" si="12"/>
        <v>12</v>
      </c>
      <c r="EN50" s="153">
        <v>0</v>
      </c>
      <c r="EO50" s="7">
        <f t="shared" si="13"/>
        <v>8</v>
      </c>
      <c r="EP50" s="40" t="str">
        <f t="shared" si="14"/>
        <v/>
      </c>
      <c r="EQ50" s="41" t="str">
        <f t="shared" si="15"/>
        <v/>
      </c>
      <c r="ET50" s="129">
        <v>1</v>
      </c>
    </row>
    <row r="51" spans="1:150" x14ac:dyDescent="0.25">
      <c r="A51" s="129" t="s">
        <v>396</v>
      </c>
      <c r="B51" s="129"/>
      <c r="C51" s="130">
        <v>45</v>
      </c>
      <c r="D51" s="177"/>
      <c r="E51" s="175" t="s">
        <v>37</v>
      </c>
      <c r="F51" s="132" t="s">
        <v>37</v>
      </c>
      <c r="G51" s="132" t="s">
        <v>37</v>
      </c>
      <c r="H51" s="132" t="s">
        <v>37</v>
      </c>
      <c r="I51" s="132" t="s">
        <v>37</v>
      </c>
      <c r="J51" s="132" t="s">
        <v>37</v>
      </c>
      <c r="K51" s="132" t="s">
        <v>37</v>
      </c>
      <c r="L51" s="132" t="s">
        <v>37</v>
      </c>
      <c r="M51" s="132" t="s">
        <v>37</v>
      </c>
      <c r="N51" s="132" t="s">
        <v>37</v>
      </c>
      <c r="O51" s="132" t="s">
        <v>37</v>
      </c>
      <c r="P51" s="132" t="s">
        <v>37</v>
      </c>
      <c r="Q51" s="176" t="s">
        <v>37</v>
      </c>
      <c r="R51" s="175">
        <v>1</v>
      </c>
      <c r="S51" s="132">
        <v>1</v>
      </c>
      <c r="T51" s="132"/>
      <c r="U51" s="176"/>
      <c r="V51" s="175"/>
      <c r="W51" s="132">
        <v>1</v>
      </c>
      <c r="X51" s="132"/>
      <c r="Y51" s="132"/>
      <c r="Z51" s="132">
        <v>1</v>
      </c>
      <c r="AA51" s="132"/>
      <c r="AB51" s="132"/>
      <c r="AC51" s="132"/>
      <c r="AD51" s="132"/>
      <c r="AE51" s="132"/>
      <c r="AF51" s="132"/>
      <c r="AG51" s="132"/>
      <c r="AH51" s="176"/>
      <c r="AI51" s="174"/>
      <c r="AJ51" s="132"/>
      <c r="AK51" s="132"/>
      <c r="AL51" s="132"/>
      <c r="AM51" s="132"/>
      <c r="AN51" s="132"/>
      <c r="AO51" s="139"/>
      <c r="AP51" s="132"/>
      <c r="AQ51" s="132"/>
      <c r="AR51" s="132"/>
      <c r="AS51" s="132"/>
      <c r="AT51" s="132"/>
      <c r="AU51" s="132"/>
      <c r="AV51" s="132"/>
      <c r="AW51" s="132"/>
      <c r="AX51" s="132"/>
      <c r="AY51" s="139"/>
      <c r="AZ51" s="132"/>
      <c r="BA51" s="132"/>
      <c r="BB51" s="132"/>
      <c r="BC51" s="132"/>
      <c r="BD51" s="132"/>
      <c r="BE51" s="132"/>
      <c r="BF51" s="132"/>
      <c r="BG51" s="132"/>
      <c r="BH51" s="132"/>
      <c r="BI51" s="132"/>
      <c r="BJ51" s="139"/>
      <c r="BK51" s="132"/>
      <c r="BL51" s="132"/>
      <c r="BM51" s="132"/>
      <c r="BN51" s="132"/>
      <c r="BO51" s="132"/>
      <c r="BP51" s="132"/>
      <c r="BQ51" s="132"/>
      <c r="BR51" s="132"/>
      <c r="BS51" s="132"/>
      <c r="BT51" s="132"/>
      <c r="BU51" s="132"/>
      <c r="BV51" s="132"/>
      <c r="BW51" s="132"/>
      <c r="BX51" s="132"/>
      <c r="BY51" s="139"/>
      <c r="BZ51" s="132"/>
      <c r="CA51" s="132"/>
      <c r="CB51" s="132"/>
      <c r="CC51" s="132"/>
      <c r="CD51" s="132"/>
      <c r="CE51" s="132"/>
      <c r="CF51" s="132"/>
      <c r="CG51" s="132"/>
      <c r="CH51" s="132"/>
      <c r="CI51" s="132"/>
      <c r="CJ51" s="139"/>
      <c r="CK51" s="132"/>
      <c r="CL51" s="132"/>
      <c r="CM51" s="132"/>
      <c r="CN51" s="132"/>
      <c r="CO51" s="132"/>
      <c r="CP51" s="132"/>
      <c r="CQ51" s="132"/>
      <c r="CR51" s="132"/>
      <c r="CS51" s="132"/>
      <c r="CT51" s="139"/>
      <c r="CU51" s="132"/>
      <c r="CV51" s="132"/>
      <c r="CW51" s="132"/>
      <c r="CX51" s="132"/>
      <c r="CY51" s="132"/>
      <c r="CZ51" s="132"/>
      <c r="DA51" s="132"/>
      <c r="DB51" s="132"/>
      <c r="DC51" s="132"/>
      <c r="DD51" s="132"/>
      <c r="DE51" s="132"/>
      <c r="DF51" s="132"/>
      <c r="DG51" s="132"/>
      <c r="DH51" s="139"/>
      <c r="DI51" s="109"/>
      <c r="DJ51" s="109"/>
      <c r="DK51" s="109"/>
      <c r="DL51" s="109"/>
      <c r="DM51" s="109"/>
      <c r="DN51" s="109"/>
      <c r="DO51" s="109"/>
      <c r="DP51" s="109"/>
      <c r="DQ51" s="109"/>
      <c r="DR51" s="109"/>
      <c r="DS51" s="109"/>
      <c r="DT51" s="109"/>
      <c r="DU51" s="109"/>
      <c r="DV51" s="139"/>
      <c r="DW51" s="109"/>
      <c r="DX51" s="109"/>
      <c r="DY51" s="109"/>
      <c r="DZ51" s="133"/>
      <c r="EA51" s="109"/>
      <c r="EB51" s="133"/>
      <c r="EC51" s="109"/>
      <c r="ED51" s="109"/>
      <c r="EE51" s="132"/>
      <c r="EF51" s="132"/>
      <c r="EG51" s="132"/>
      <c r="EH51" s="132"/>
      <c r="EI51" s="132"/>
      <c r="EJ51" s="132"/>
      <c r="EK51" s="5">
        <f t="shared" si="8"/>
        <v>4</v>
      </c>
      <c r="EL51" s="5">
        <v>1</v>
      </c>
      <c r="EM51" s="5">
        <f t="shared" si="12"/>
        <v>12</v>
      </c>
      <c r="EN51" s="153">
        <v>0</v>
      </c>
      <c r="EO51" s="7">
        <f t="shared" si="13"/>
        <v>8</v>
      </c>
      <c r="EP51" s="40" t="str">
        <f t="shared" si="14"/>
        <v/>
      </c>
      <c r="EQ51" s="41" t="str">
        <f t="shared" si="15"/>
        <v/>
      </c>
      <c r="ET51" s="129">
        <v>2</v>
      </c>
    </row>
    <row r="52" spans="1:150" x14ac:dyDescent="0.25">
      <c r="A52" s="129" t="s">
        <v>393</v>
      </c>
      <c r="B52" s="129"/>
      <c r="C52" s="130">
        <v>46</v>
      </c>
      <c r="D52" s="177"/>
      <c r="E52" s="175" t="s">
        <v>37</v>
      </c>
      <c r="F52" s="132" t="s">
        <v>37</v>
      </c>
      <c r="G52" s="132" t="s">
        <v>37</v>
      </c>
      <c r="H52" s="132" t="s">
        <v>37</v>
      </c>
      <c r="I52" s="132" t="s">
        <v>37</v>
      </c>
      <c r="J52" s="132" t="s">
        <v>37</v>
      </c>
      <c r="K52" s="132" t="s">
        <v>37</v>
      </c>
      <c r="L52" s="132" t="s">
        <v>37</v>
      </c>
      <c r="M52" s="132" t="s">
        <v>37</v>
      </c>
      <c r="N52" s="132" t="s">
        <v>37</v>
      </c>
      <c r="O52" s="132" t="s">
        <v>37</v>
      </c>
      <c r="P52" s="132" t="s">
        <v>37</v>
      </c>
      <c r="Q52" s="176" t="s">
        <v>37</v>
      </c>
      <c r="R52" s="175" t="s">
        <v>37</v>
      </c>
      <c r="S52" s="132">
        <v>1</v>
      </c>
      <c r="T52" s="132">
        <v>1</v>
      </c>
      <c r="U52" s="176">
        <v>1</v>
      </c>
      <c r="V52" s="175">
        <v>1</v>
      </c>
      <c r="W52" s="132">
        <v>1</v>
      </c>
      <c r="X52" s="132">
        <v>1</v>
      </c>
      <c r="Y52" s="132"/>
      <c r="Z52" s="132">
        <v>1</v>
      </c>
      <c r="AA52" s="132">
        <v>1</v>
      </c>
      <c r="AB52" s="132"/>
      <c r="AC52" s="132">
        <v>1</v>
      </c>
      <c r="AD52" s="132"/>
      <c r="AE52" s="132">
        <v>1</v>
      </c>
      <c r="AF52" s="132">
        <v>1</v>
      </c>
      <c r="AG52" s="132">
        <v>1</v>
      </c>
      <c r="AH52" s="176"/>
      <c r="AI52" s="174"/>
      <c r="AJ52" s="132"/>
      <c r="AK52" s="132"/>
      <c r="AL52" s="132"/>
      <c r="AM52" s="132"/>
      <c r="AN52" s="132"/>
      <c r="AO52" s="139"/>
      <c r="AP52" s="132"/>
      <c r="AQ52" s="132"/>
      <c r="AR52" s="132"/>
      <c r="AS52" s="132"/>
      <c r="AT52" s="132"/>
      <c r="AU52" s="132"/>
      <c r="AV52" s="132"/>
      <c r="AW52" s="132"/>
      <c r="AX52" s="132"/>
      <c r="AY52" s="139"/>
      <c r="AZ52" s="132"/>
      <c r="BA52" s="132"/>
      <c r="BB52" s="132"/>
      <c r="BC52" s="132"/>
      <c r="BD52" s="132"/>
      <c r="BE52" s="132"/>
      <c r="BF52" s="132"/>
      <c r="BG52" s="132"/>
      <c r="BH52" s="132"/>
      <c r="BI52" s="132"/>
      <c r="BJ52" s="139"/>
      <c r="BK52" s="132"/>
      <c r="BL52" s="132"/>
      <c r="BM52" s="132"/>
      <c r="BN52" s="132"/>
      <c r="BO52" s="132"/>
      <c r="BP52" s="132"/>
      <c r="BQ52" s="132"/>
      <c r="BR52" s="132"/>
      <c r="BS52" s="132"/>
      <c r="BT52" s="132"/>
      <c r="BU52" s="132"/>
      <c r="BV52" s="132"/>
      <c r="BW52" s="132"/>
      <c r="BX52" s="132"/>
      <c r="BY52" s="139"/>
      <c r="BZ52" s="132"/>
      <c r="CA52" s="132"/>
      <c r="CB52" s="132"/>
      <c r="CC52" s="132"/>
      <c r="CD52" s="132"/>
      <c r="CE52" s="132"/>
      <c r="CF52" s="132"/>
      <c r="CG52" s="132"/>
      <c r="CH52" s="132"/>
      <c r="CI52" s="132"/>
      <c r="CJ52" s="139"/>
      <c r="CK52" s="132"/>
      <c r="CL52" s="132"/>
      <c r="CM52" s="132"/>
      <c r="CN52" s="132"/>
      <c r="CO52" s="132"/>
      <c r="CP52" s="132"/>
      <c r="CQ52" s="132"/>
      <c r="CR52" s="132"/>
      <c r="CS52" s="132"/>
      <c r="CT52" s="139"/>
      <c r="CU52" s="132"/>
      <c r="CV52" s="132"/>
      <c r="CW52" s="132"/>
      <c r="CX52" s="132"/>
      <c r="CY52" s="132"/>
      <c r="CZ52" s="132"/>
      <c r="DA52" s="132"/>
      <c r="DB52" s="132"/>
      <c r="DC52" s="132"/>
      <c r="DD52" s="132"/>
      <c r="DE52" s="132"/>
      <c r="DF52" s="132"/>
      <c r="DG52" s="132"/>
      <c r="DH52" s="139"/>
      <c r="DI52" s="109"/>
      <c r="DJ52" s="109"/>
      <c r="DK52" s="109"/>
      <c r="DL52" s="109"/>
      <c r="DM52" s="109"/>
      <c r="DN52" s="109"/>
      <c r="DO52" s="109"/>
      <c r="DP52" s="109"/>
      <c r="DQ52" s="109"/>
      <c r="DR52" s="109"/>
      <c r="DS52" s="109"/>
      <c r="DT52" s="109"/>
      <c r="DU52" s="109"/>
      <c r="DV52" s="139"/>
      <c r="DW52" s="109"/>
      <c r="DX52" s="109"/>
      <c r="DY52" s="109"/>
      <c r="DZ52" s="133"/>
      <c r="EA52" s="109"/>
      <c r="EB52" s="133"/>
      <c r="EC52" s="109"/>
      <c r="ED52" s="109"/>
      <c r="EE52" s="132"/>
      <c r="EF52" s="132"/>
      <c r="EG52" s="132"/>
      <c r="EH52" s="132"/>
      <c r="EI52" s="132"/>
      <c r="EJ52" s="132"/>
      <c r="EK52" s="5">
        <f t="shared" si="8"/>
        <v>12</v>
      </c>
      <c r="EL52" s="5">
        <v>1</v>
      </c>
      <c r="EM52" s="5">
        <f t="shared" si="12"/>
        <v>12</v>
      </c>
      <c r="EN52" s="153">
        <v>0</v>
      </c>
      <c r="EO52" s="7">
        <f t="shared" si="13"/>
        <v>0</v>
      </c>
      <c r="EP52" s="40" t="str">
        <f t="shared" si="14"/>
        <v>NO</v>
      </c>
      <c r="EQ52" s="41" t="str">
        <f t="shared" si="15"/>
        <v>شتحومة ماهر</v>
      </c>
      <c r="ET52" s="129" t="s">
        <v>393</v>
      </c>
    </row>
    <row r="53" spans="1:150" x14ac:dyDescent="0.25">
      <c r="A53" s="129" t="s">
        <v>394</v>
      </c>
      <c r="B53" s="129"/>
      <c r="C53" s="130">
        <v>47</v>
      </c>
      <c r="D53" s="177"/>
      <c r="E53" s="175" t="s">
        <v>37</v>
      </c>
      <c r="F53" s="132" t="s">
        <v>37</v>
      </c>
      <c r="G53" s="132" t="s">
        <v>37</v>
      </c>
      <c r="H53" s="132" t="s">
        <v>37</v>
      </c>
      <c r="I53" s="132" t="s">
        <v>37</v>
      </c>
      <c r="J53" s="132" t="s">
        <v>37</v>
      </c>
      <c r="K53" s="132" t="s">
        <v>37</v>
      </c>
      <c r="L53" s="132" t="s">
        <v>37</v>
      </c>
      <c r="M53" s="132" t="s">
        <v>37</v>
      </c>
      <c r="N53" s="132" t="s">
        <v>37</v>
      </c>
      <c r="O53" s="132" t="s">
        <v>37</v>
      </c>
      <c r="P53" s="132" t="s">
        <v>37</v>
      </c>
      <c r="Q53" s="176" t="s">
        <v>37</v>
      </c>
      <c r="R53" s="175" t="s">
        <v>37</v>
      </c>
      <c r="S53" s="132">
        <v>1</v>
      </c>
      <c r="T53" s="132">
        <v>1</v>
      </c>
      <c r="U53" s="176">
        <v>1</v>
      </c>
      <c r="V53" s="175">
        <v>1</v>
      </c>
      <c r="W53" s="132">
        <v>1</v>
      </c>
      <c r="X53" s="132">
        <v>1</v>
      </c>
      <c r="Y53" s="132">
        <v>1</v>
      </c>
      <c r="Z53" s="132"/>
      <c r="AA53" s="132">
        <v>1</v>
      </c>
      <c r="AB53" s="132">
        <v>1</v>
      </c>
      <c r="AC53" s="132">
        <v>1</v>
      </c>
      <c r="AD53" s="132">
        <v>1</v>
      </c>
      <c r="AE53" s="132">
        <v>1</v>
      </c>
      <c r="AF53" s="132"/>
      <c r="AG53" s="132">
        <v>1</v>
      </c>
      <c r="AH53" s="176"/>
      <c r="AI53" s="174"/>
      <c r="AJ53" s="132"/>
      <c r="AK53" s="132"/>
      <c r="AL53" s="132"/>
      <c r="AM53" s="132"/>
      <c r="AN53" s="132"/>
      <c r="AO53" s="139"/>
      <c r="AP53" s="132"/>
      <c r="AQ53" s="132"/>
      <c r="AR53" s="132"/>
      <c r="AS53" s="132"/>
      <c r="AT53" s="132"/>
      <c r="AU53" s="132"/>
      <c r="AV53" s="132"/>
      <c r="AW53" s="132"/>
      <c r="AX53" s="132"/>
      <c r="AY53" s="139"/>
      <c r="AZ53" s="132"/>
      <c r="BA53" s="132"/>
      <c r="BB53" s="132"/>
      <c r="BC53" s="132"/>
      <c r="BD53" s="132"/>
      <c r="BE53" s="132"/>
      <c r="BF53" s="132"/>
      <c r="BG53" s="132"/>
      <c r="BH53" s="132"/>
      <c r="BI53" s="132"/>
      <c r="BJ53" s="139"/>
      <c r="BK53" s="132"/>
      <c r="BL53" s="132"/>
      <c r="BM53" s="132"/>
      <c r="BN53" s="132"/>
      <c r="BO53" s="132"/>
      <c r="BP53" s="132"/>
      <c r="BQ53" s="132"/>
      <c r="BR53" s="132"/>
      <c r="BS53" s="132"/>
      <c r="BT53" s="132"/>
      <c r="BU53" s="132"/>
      <c r="BV53" s="132"/>
      <c r="BW53" s="132"/>
      <c r="BX53" s="132"/>
      <c r="BY53" s="139"/>
      <c r="BZ53" s="132"/>
      <c r="CA53" s="132"/>
      <c r="CB53" s="132"/>
      <c r="CC53" s="132"/>
      <c r="CD53" s="132"/>
      <c r="CE53" s="132"/>
      <c r="CF53" s="132"/>
      <c r="CG53" s="132"/>
      <c r="CH53" s="132"/>
      <c r="CI53" s="132"/>
      <c r="CJ53" s="139"/>
      <c r="CK53" s="132"/>
      <c r="CL53" s="132"/>
      <c r="CM53" s="132"/>
      <c r="CN53" s="132"/>
      <c r="CO53" s="132"/>
      <c r="CP53" s="132"/>
      <c r="CQ53" s="132"/>
      <c r="CR53" s="132"/>
      <c r="CS53" s="132"/>
      <c r="CT53" s="139"/>
      <c r="CU53" s="132"/>
      <c r="CV53" s="132"/>
      <c r="CW53" s="132"/>
      <c r="CX53" s="132"/>
      <c r="CY53" s="132"/>
      <c r="CZ53" s="132"/>
      <c r="DA53" s="132"/>
      <c r="DB53" s="132"/>
      <c r="DC53" s="132"/>
      <c r="DD53" s="132"/>
      <c r="DE53" s="132"/>
      <c r="DF53" s="132"/>
      <c r="DG53" s="132"/>
      <c r="DH53" s="139"/>
      <c r="DI53" s="109"/>
      <c r="DJ53" s="109"/>
      <c r="DK53" s="109"/>
      <c r="DL53" s="109"/>
      <c r="DM53" s="109"/>
      <c r="DN53" s="109"/>
      <c r="DO53" s="109"/>
      <c r="DP53" s="109"/>
      <c r="DQ53" s="109"/>
      <c r="DR53" s="109"/>
      <c r="DS53" s="109"/>
      <c r="DT53" s="109"/>
      <c r="DU53" s="109"/>
      <c r="DV53" s="139"/>
      <c r="DW53" s="109"/>
      <c r="DX53" s="109"/>
      <c r="DY53" s="109"/>
      <c r="DZ53" s="133"/>
      <c r="EA53" s="109"/>
      <c r="EB53" s="133"/>
      <c r="EC53" s="109"/>
      <c r="ED53" s="109"/>
      <c r="EE53" s="132"/>
      <c r="EF53" s="132"/>
      <c r="EG53" s="132"/>
      <c r="EH53" s="132"/>
      <c r="EI53" s="132"/>
      <c r="EJ53" s="132"/>
      <c r="EK53" s="5">
        <f t="shared" si="8"/>
        <v>13</v>
      </c>
      <c r="EL53" s="5">
        <v>1</v>
      </c>
      <c r="EM53" s="5">
        <f t="shared" si="12"/>
        <v>12</v>
      </c>
      <c r="EN53" s="153">
        <v>0</v>
      </c>
      <c r="EO53" s="7">
        <f t="shared" si="13"/>
        <v>-1</v>
      </c>
      <c r="EP53" s="40" t="str">
        <f t="shared" si="14"/>
        <v>NO</v>
      </c>
      <c r="EQ53" s="41" t="str">
        <f t="shared" si="15"/>
        <v>سويد شفاء</v>
      </c>
      <c r="ET53" s="129" t="s">
        <v>394</v>
      </c>
    </row>
    <row r="54" spans="1:150" x14ac:dyDescent="0.25">
      <c r="A54" s="129" t="s">
        <v>399</v>
      </c>
      <c r="B54" s="129"/>
      <c r="C54" s="130">
        <v>48</v>
      </c>
      <c r="D54" s="177"/>
      <c r="E54" s="175" t="s">
        <v>37</v>
      </c>
      <c r="F54" s="132" t="s">
        <v>37</v>
      </c>
      <c r="G54" s="132" t="s">
        <v>37</v>
      </c>
      <c r="H54" s="132" t="s">
        <v>37</v>
      </c>
      <c r="I54" s="132" t="s">
        <v>37</v>
      </c>
      <c r="J54" s="132" t="s">
        <v>37</v>
      </c>
      <c r="K54" s="132" t="s">
        <v>37</v>
      </c>
      <c r="L54" s="132" t="s">
        <v>37</v>
      </c>
      <c r="M54" s="132" t="s">
        <v>37</v>
      </c>
      <c r="N54" s="132" t="s">
        <v>37</v>
      </c>
      <c r="O54" s="132" t="s">
        <v>37</v>
      </c>
      <c r="P54" s="132" t="s">
        <v>37</v>
      </c>
      <c r="Q54" s="176" t="s">
        <v>37</v>
      </c>
      <c r="R54" s="175" t="s">
        <v>37</v>
      </c>
      <c r="S54" s="132" t="s">
        <v>37</v>
      </c>
      <c r="T54" s="132">
        <v>1</v>
      </c>
      <c r="U54" s="176">
        <v>1</v>
      </c>
      <c r="V54" s="175">
        <v>1</v>
      </c>
      <c r="W54" s="132">
        <v>1</v>
      </c>
      <c r="X54" s="132">
        <v>1</v>
      </c>
      <c r="Y54" s="132">
        <v>1</v>
      </c>
      <c r="Z54" s="132">
        <v>1</v>
      </c>
      <c r="AA54" s="132">
        <v>1</v>
      </c>
      <c r="AB54" s="132">
        <v>1</v>
      </c>
      <c r="AC54" s="132">
        <v>1</v>
      </c>
      <c r="AD54" s="132">
        <v>1</v>
      </c>
      <c r="AE54" s="132">
        <v>1</v>
      </c>
      <c r="AF54" s="132"/>
      <c r="AG54" s="132">
        <v>1</v>
      </c>
      <c r="AH54" s="176"/>
      <c r="AI54" s="174"/>
      <c r="AJ54" s="132"/>
      <c r="AK54" s="132"/>
      <c r="AL54" s="132"/>
      <c r="AM54" s="132"/>
      <c r="AN54" s="132"/>
      <c r="AO54" s="139"/>
      <c r="AP54" s="132"/>
      <c r="AQ54" s="132"/>
      <c r="AR54" s="132"/>
      <c r="AS54" s="132"/>
      <c r="AT54" s="132"/>
      <c r="AU54" s="132"/>
      <c r="AV54" s="132"/>
      <c r="AW54" s="132"/>
      <c r="AX54" s="132"/>
      <c r="AY54" s="139"/>
      <c r="AZ54" s="132"/>
      <c r="BA54" s="132"/>
      <c r="BB54" s="132"/>
      <c r="BC54" s="132"/>
      <c r="BD54" s="132"/>
      <c r="BE54" s="132"/>
      <c r="BF54" s="132"/>
      <c r="BG54" s="132"/>
      <c r="BH54" s="132"/>
      <c r="BI54" s="132"/>
      <c r="BJ54" s="139"/>
      <c r="BK54" s="132"/>
      <c r="BL54" s="132"/>
      <c r="BM54" s="132"/>
      <c r="BN54" s="132"/>
      <c r="BO54" s="132"/>
      <c r="BP54" s="132"/>
      <c r="BQ54" s="132"/>
      <c r="BR54" s="132"/>
      <c r="BS54" s="132"/>
      <c r="BT54" s="132"/>
      <c r="BU54" s="132"/>
      <c r="BV54" s="132"/>
      <c r="BW54" s="132"/>
      <c r="BX54" s="132"/>
      <c r="BY54" s="139"/>
      <c r="BZ54" s="132"/>
      <c r="CA54" s="132"/>
      <c r="CB54" s="132"/>
      <c r="CC54" s="132"/>
      <c r="CD54" s="132"/>
      <c r="CE54" s="132"/>
      <c r="CF54" s="132"/>
      <c r="CG54" s="132"/>
      <c r="CH54" s="132"/>
      <c r="CI54" s="132"/>
      <c r="CJ54" s="139"/>
      <c r="CK54" s="132"/>
      <c r="CL54" s="132"/>
      <c r="CM54" s="132"/>
      <c r="CN54" s="132"/>
      <c r="CO54" s="132"/>
      <c r="CP54" s="132"/>
      <c r="CQ54" s="132"/>
      <c r="CR54" s="132"/>
      <c r="CS54" s="132"/>
      <c r="CT54" s="139"/>
      <c r="CU54" s="132"/>
      <c r="CV54" s="132"/>
      <c r="CW54" s="132"/>
      <c r="CX54" s="132"/>
      <c r="CY54" s="132"/>
      <c r="CZ54" s="132"/>
      <c r="DA54" s="132"/>
      <c r="DB54" s="132"/>
      <c r="DC54" s="132"/>
      <c r="DD54" s="132"/>
      <c r="DE54" s="132"/>
      <c r="DF54" s="132"/>
      <c r="DG54" s="132"/>
      <c r="DH54" s="139"/>
      <c r="DI54" s="109"/>
      <c r="DJ54" s="109"/>
      <c r="DK54" s="109"/>
      <c r="DL54" s="109"/>
      <c r="DM54" s="109"/>
      <c r="DN54" s="109"/>
      <c r="DO54" s="109"/>
      <c r="DP54" s="109"/>
      <c r="DQ54" s="109"/>
      <c r="DR54" s="109"/>
      <c r="DS54" s="109"/>
      <c r="DT54" s="109"/>
      <c r="DU54" s="109"/>
      <c r="DV54" s="139"/>
      <c r="DW54" s="109"/>
      <c r="DX54" s="109"/>
      <c r="DY54" s="109"/>
      <c r="DZ54" s="133"/>
      <c r="EA54" s="109"/>
      <c r="EB54" s="133"/>
      <c r="EC54" s="109"/>
      <c r="ED54" s="109"/>
      <c r="EE54" s="132"/>
      <c r="EF54" s="132"/>
      <c r="EG54" s="132"/>
      <c r="EH54" s="132"/>
      <c r="EI54" s="132"/>
      <c r="EJ54" s="132"/>
      <c r="EK54" s="5">
        <f t="shared" si="8"/>
        <v>13</v>
      </c>
      <c r="EL54" s="5">
        <v>1</v>
      </c>
      <c r="EM54" s="5">
        <f t="shared" si="12"/>
        <v>12</v>
      </c>
      <c r="EN54" s="153">
        <v>0</v>
      </c>
      <c r="EO54" s="7">
        <f t="shared" si="13"/>
        <v>-1</v>
      </c>
      <c r="EP54" s="40" t="str">
        <f t="shared" si="14"/>
        <v>NO</v>
      </c>
      <c r="EQ54" s="41" t="str">
        <f t="shared" si="15"/>
        <v>يعقوبي رياض</v>
      </c>
    </row>
    <row r="55" spans="1:150" x14ac:dyDescent="0.25">
      <c r="A55" s="129" t="s">
        <v>400</v>
      </c>
      <c r="B55" s="129"/>
      <c r="C55" s="130">
        <v>49</v>
      </c>
      <c r="D55" s="177"/>
      <c r="E55" s="175" t="s">
        <v>37</v>
      </c>
      <c r="F55" s="132" t="s">
        <v>37</v>
      </c>
      <c r="G55" s="132" t="s">
        <v>37</v>
      </c>
      <c r="H55" s="132" t="s">
        <v>37</v>
      </c>
      <c r="I55" s="132" t="s">
        <v>37</v>
      </c>
      <c r="J55" s="132" t="s">
        <v>37</v>
      </c>
      <c r="K55" s="132" t="s">
        <v>37</v>
      </c>
      <c r="L55" s="132" t="s">
        <v>37</v>
      </c>
      <c r="M55" s="132" t="s">
        <v>37</v>
      </c>
      <c r="N55" s="132" t="s">
        <v>37</v>
      </c>
      <c r="O55" s="132" t="s">
        <v>37</v>
      </c>
      <c r="P55" s="132" t="s">
        <v>37</v>
      </c>
      <c r="Q55" s="176" t="s">
        <v>37</v>
      </c>
      <c r="R55" s="175" t="s">
        <v>37</v>
      </c>
      <c r="S55" s="132" t="s">
        <v>37</v>
      </c>
      <c r="T55" s="132">
        <v>1</v>
      </c>
      <c r="U55" s="176"/>
      <c r="V55" s="175">
        <v>1</v>
      </c>
      <c r="W55" s="132">
        <v>1</v>
      </c>
      <c r="X55" s="132">
        <v>1</v>
      </c>
      <c r="Y55" s="132">
        <v>1</v>
      </c>
      <c r="Z55" s="132">
        <v>1</v>
      </c>
      <c r="AA55" s="132">
        <v>1</v>
      </c>
      <c r="AB55" s="132">
        <v>1</v>
      </c>
      <c r="AC55" s="132">
        <v>1</v>
      </c>
      <c r="AD55" s="132">
        <v>1</v>
      </c>
      <c r="AE55" s="132">
        <v>1</v>
      </c>
      <c r="AF55" s="132">
        <v>1</v>
      </c>
      <c r="AG55" s="132">
        <v>1</v>
      </c>
      <c r="AH55" s="176"/>
      <c r="AI55" s="174"/>
      <c r="AJ55" s="132"/>
      <c r="AK55" s="132"/>
      <c r="AL55" s="132"/>
      <c r="AM55" s="132"/>
      <c r="AN55" s="132"/>
      <c r="AO55" s="139"/>
      <c r="AP55" s="132"/>
      <c r="AQ55" s="132"/>
      <c r="AR55" s="132"/>
      <c r="AS55" s="132"/>
      <c r="AT55" s="132"/>
      <c r="AU55" s="132"/>
      <c r="AV55" s="132"/>
      <c r="AW55" s="132"/>
      <c r="AX55" s="132"/>
      <c r="AY55" s="139"/>
      <c r="AZ55" s="132"/>
      <c r="BA55" s="132"/>
      <c r="BB55" s="132"/>
      <c r="BC55" s="132"/>
      <c r="BD55" s="132"/>
      <c r="BE55" s="132"/>
      <c r="BF55" s="132"/>
      <c r="BG55" s="132"/>
      <c r="BH55" s="132"/>
      <c r="BI55" s="132"/>
      <c r="BJ55" s="139"/>
      <c r="BK55" s="132"/>
      <c r="BL55" s="132"/>
      <c r="BM55" s="132"/>
      <c r="BN55" s="132"/>
      <c r="BO55" s="132"/>
      <c r="BP55" s="132"/>
      <c r="BQ55" s="132"/>
      <c r="BR55" s="132"/>
      <c r="BS55" s="132"/>
      <c r="BT55" s="132"/>
      <c r="BU55" s="132"/>
      <c r="BV55" s="132"/>
      <c r="BW55" s="132"/>
      <c r="BX55" s="132"/>
      <c r="BY55" s="139"/>
      <c r="BZ55" s="132"/>
      <c r="CA55" s="132"/>
      <c r="CB55" s="132"/>
      <c r="CC55" s="132"/>
      <c r="CD55" s="132"/>
      <c r="CE55" s="132"/>
      <c r="CF55" s="132"/>
      <c r="CG55" s="132"/>
      <c r="CH55" s="132"/>
      <c r="CI55" s="132"/>
      <c r="CJ55" s="139"/>
      <c r="CK55" s="132"/>
      <c r="CL55" s="132"/>
      <c r="CM55" s="132"/>
      <c r="CN55" s="132"/>
      <c r="CO55" s="132"/>
      <c r="CP55" s="132"/>
      <c r="CQ55" s="132"/>
      <c r="CR55" s="132"/>
      <c r="CS55" s="132"/>
      <c r="CT55" s="139"/>
      <c r="CU55" s="132"/>
      <c r="CV55" s="132"/>
      <c r="CW55" s="132"/>
      <c r="CX55" s="132"/>
      <c r="CY55" s="132"/>
      <c r="CZ55" s="132"/>
      <c r="DA55" s="132"/>
      <c r="DB55" s="132"/>
      <c r="DC55" s="132"/>
      <c r="DD55" s="132"/>
      <c r="DE55" s="132"/>
      <c r="DF55" s="132"/>
      <c r="DG55" s="132"/>
      <c r="DH55" s="139"/>
      <c r="DI55" s="109"/>
      <c r="DJ55" s="109"/>
      <c r="DK55" s="109"/>
      <c r="DL55" s="109"/>
      <c r="DM55" s="109"/>
      <c r="DN55" s="109"/>
      <c r="DO55" s="109"/>
      <c r="DP55" s="109"/>
      <c r="DQ55" s="109"/>
      <c r="DR55" s="109"/>
      <c r="DS55" s="109"/>
      <c r="DT55" s="109"/>
      <c r="DU55" s="109"/>
      <c r="DV55" s="139"/>
      <c r="DW55" s="109"/>
      <c r="DX55" s="109"/>
      <c r="DY55" s="109"/>
      <c r="DZ55" s="133"/>
      <c r="EA55" s="109"/>
      <c r="EB55" s="133"/>
      <c r="EC55" s="109"/>
      <c r="ED55" s="109"/>
      <c r="EE55" s="132"/>
      <c r="EF55" s="132"/>
      <c r="EG55" s="132"/>
      <c r="EH55" s="132"/>
      <c r="EI55" s="132"/>
      <c r="EJ55" s="132"/>
      <c r="EK55" s="5">
        <f t="shared" si="8"/>
        <v>13</v>
      </c>
      <c r="EL55" s="5">
        <v>2</v>
      </c>
      <c r="EM55" s="5">
        <f t="shared" si="12"/>
        <v>24</v>
      </c>
      <c r="EN55" s="153">
        <v>0</v>
      </c>
      <c r="EO55" s="7">
        <f t="shared" si="13"/>
        <v>11</v>
      </c>
      <c r="EP55" s="40" t="str">
        <f t="shared" si="14"/>
        <v/>
      </c>
      <c r="EQ55" s="41" t="str">
        <f t="shared" si="15"/>
        <v/>
      </c>
    </row>
    <row r="56" spans="1:150" x14ac:dyDescent="0.25">
      <c r="A56" s="129" t="s">
        <v>401</v>
      </c>
      <c r="B56" s="129"/>
      <c r="C56" s="130">
        <v>50</v>
      </c>
      <c r="D56" s="177"/>
      <c r="E56" s="175" t="s">
        <v>37</v>
      </c>
      <c r="F56" s="132" t="s">
        <v>37</v>
      </c>
      <c r="G56" s="132" t="s">
        <v>37</v>
      </c>
      <c r="H56" s="132" t="s">
        <v>37</v>
      </c>
      <c r="I56" s="132" t="s">
        <v>37</v>
      </c>
      <c r="J56" s="132" t="s">
        <v>37</v>
      </c>
      <c r="K56" s="132" t="s">
        <v>37</v>
      </c>
      <c r="L56" s="132" t="s">
        <v>37</v>
      </c>
      <c r="M56" s="132" t="s">
        <v>37</v>
      </c>
      <c r="N56" s="132" t="s">
        <v>37</v>
      </c>
      <c r="O56" s="132" t="s">
        <v>37</v>
      </c>
      <c r="P56" s="132" t="s">
        <v>37</v>
      </c>
      <c r="Q56" s="176" t="s">
        <v>37</v>
      </c>
      <c r="R56" s="175" t="s">
        <v>37</v>
      </c>
      <c r="S56" s="132" t="s">
        <v>37</v>
      </c>
      <c r="T56" s="132">
        <v>1</v>
      </c>
      <c r="U56" s="176"/>
      <c r="V56" s="175">
        <v>1</v>
      </c>
      <c r="W56" s="132">
        <v>1</v>
      </c>
      <c r="X56" s="132">
        <v>1</v>
      </c>
      <c r="Y56" s="132">
        <v>1</v>
      </c>
      <c r="Z56" s="132">
        <v>1</v>
      </c>
      <c r="AA56" s="132">
        <v>1</v>
      </c>
      <c r="AB56" s="132">
        <v>1</v>
      </c>
      <c r="AC56" s="132">
        <v>1</v>
      </c>
      <c r="AD56" s="132">
        <v>1</v>
      </c>
      <c r="AE56" s="132">
        <v>1</v>
      </c>
      <c r="AF56" s="132">
        <v>1</v>
      </c>
      <c r="AG56" s="132">
        <v>1</v>
      </c>
      <c r="AH56" s="176"/>
      <c r="AI56" s="174"/>
      <c r="AJ56" s="132"/>
      <c r="AK56" s="132"/>
      <c r="AL56" s="132"/>
      <c r="AM56" s="132"/>
      <c r="AN56" s="132"/>
      <c r="AO56" s="139"/>
      <c r="AP56" s="132"/>
      <c r="AQ56" s="132"/>
      <c r="AR56" s="132"/>
      <c r="AS56" s="132"/>
      <c r="AT56" s="132"/>
      <c r="AU56" s="132"/>
      <c r="AV56" s="132"/>
      <c r="AW56" s="132"/>
      <c r="AX56" s="132"/>
      <c r="AY56" s="139"/>
      <c r="AZ56" s="132"/>
      <c r="BA56" s="132"/>
      <c r="BB56" s="132"/>
      <c r="BC56" s="132"/>
      <c r="BD56" s="132"/>
      <c r="BE56" s="132"/>
      <c r="BF56" s="132"/>
      <c r="BG56" s="132"/>
      <c r="BH56" s="132"/>
      <c r="BI56" s="132"/>
      <c r="BJ56" s="139"/>
      <c r="BK56" s="132"/>
      <c r="BL56" s="132"/>
      <c r="BM56" s="132"/>
      <c r="BN56" s="132"/>
      <c r="BO56" s="132"/>
      <c r="BP56" s="132"/>
      <c r="BQ56" s="132"/>
      <c r="BR56" s="132"/>
      <c r="BS56" s="132"/>
      <c r="BT56" s="132"/>
      <c r="BU56" s="132"/>
      <c r="BV56" s="132"/>
      <c r="BW56" s="132"/>
      <c r="BX56" s="132"/>
      <c r="BY56" s="139"/>
      <c r="BZ56" s="132"/>
      <c r="CA56" s="132"/>
      <c r="CB56" s="132"/>
      <c r="CC56" s="132"/>
      <c r="CD56" s="132"/>
      <c r="CE56" s="132"/>
      <c r="CF56" s="132"/>
      <c r="CG56" s="132"/>
      <c r="CH56" s="132"/>
      <c r="CI56" s="132"/>
      <c r="CJ56" s="139"/>
      <c r="CK56" s="132"/>
      <c r="CL56" s="132"/>
      <c r="CM56" s="132"/>
      <c r="CN56" s="132"/>
      <c r="CO56" s="132"/>
      <c r="CP56" s="132"/>
      <c r="CQ56" s="132"/>
      <c r="CR56" s="132"/>
      <c r="CS56" s="132"/>
      <c r="CT56" s="139"/>
      <c r="CU56" s="132"/>
      <c r="CV56" s="132"/>
      <c r="CW56" s="132"/>
      <c r="CX56" s="132"/>
      <c r="CY56" s="132"/>
      <c r="CZ56" s="132"/>
      <c r="DA56" s="132"/>
      <c r="DB56" s="132"/>
      <c r="DC56" s="132"/>
      <c r="DD56" s="132"/>
      <c r="DE56" s="132"/>
      <c r="DF56" s="132"/>
      <c r="DG56" s="132"/>
      <c r="DH56" s="139"/>
      <c r="DI56" s="109"/>
      <c r="DJ56" s="109"/>
      <c r="DK56" s="109"/>
      <c r="DL56" s="109"/>
      <c r="DM56" s="109"/>
      <c r="DN56" s="109"/>
      <c r="DO56" s="109"/>
      <c r="DP56" s="109"/>
      <c r="DQ56" s="109"/>
      <c r="DR56" s="109"/>
      <c r="DS56" s="109"/>
      <c r="DT56" s="109"/>
      <c r="DU56" s="109"/>
      <c r="DV56" s="139"/>
      <c r="DW56" s="109"/>
      <c r="DX56" s="109"/>
      <c r="DY56" s="109"/>
      <c r="DZ56" s="133"/>
      <c r="EA56" s="109"/>
      <c r="EB56" s="133"/>
      <c r="EC56" s="109"/>
      <c r="ED56" s="109"/>
      <c r="EE56" s="132"/>
      <c r="EF56" s="132"/>
      <c r="EG56" s="132"/>
      <c r="EH56" s="132"/>
      <c r="EI56" s="132"/>
      <c r="EJ56" s="132"/>
      <c r="EK56" s="5">
        <f t="shared" si="8"/>
        <v>13</v>
      </c>
      <c r="EL56" s="5">
        <v>2</v>
      </c>
      <c r="EM56" s="5">
        <f t="shared" si="12"/>
        <v>24</v>
      </c>
      <c r="EN56" s="153">
        <v>0</v>
      </c>
      <c r="EO56" s="7">
        <f t="shared" si="13"/>
        <v>11</v>
      </c>
      <c r="EP56" s="40" t="str">
        <f t="shared" si="14"/>
        <v/>
      </c>
      <c r="EQ56" s="41" t="str">
        <f t="shared" si="15"/>
        <v/>
      </c>
    </row>
    <row r="57" spans="1:150" x14ac:dyDescent="0.25">
      <c r="A57" s="129" t="s">
        <v>402</v>
      </c>
      <c r="B57" s="129"/>
      <c r="C57" s="130">
        <v>51</v>
      </c>
      <c r="D57" s="177"/>
      <c r="E57" s="175" t="s">
        <v>37</v>
      </c>
      <c r="F57" s="132" t="s">
        <v>37</v>
      </c>
      <c r="G57" s="132" t="s">
        <v>37</v>
      </c>
      <c r="H57" s="132" t="s">
        <v>37</v>
      </c>
      <c r="I57" s="132" t="s">
        <v>37</v>
      </c>
      <c r="J57" s="132" t="s">
        <v>37</v>
      </c>
      <c r="K57" s="132" t="s">
        <v>37</v>
      </c>
      <c r="L57" s="132" t="s">
        <v>37</v>
      </c>
      <c r="M57" s="132" t="s">
        <v>37</v>
      </c>
      <c r="N57" s="132" t="s">
        <v>37</v>
      </c>
      <c r="O57" s="132" t="s">
        <v>37</v>
      </c>
      <c r="P57" s="132" t="s">
        <v>37</v>
      </c>
      <c r="Q57" s="176" t="s">
        <v>37</v>
      </c>
      <c r="R57" s="175" t="s">
        <v>37</v>
      </c>
      <c r="S57" s="132" t="s">
        <v>37</v>
      </c>
      <c r="T57" s="132">
        <v>1</v>
      </c>
      <c r="U57" s="176">
        <v>1</v>
      </c>
      <c r="V57" s="175"/>
      <c r="W57" s="132">
        <v>1</v>
      </c>
      <c r="X57" s="132">
        <v>1</v>
      </c>
      <c r="Y57" s="132">
        <v>1</v>
      </c>
      <c r="Z57" s="132">
        <v>1</v>
      </c>
      <c r="AA57" s="132">
        <v>1</v>
      </c>
      <c r="AB57" s="132">
        <v>1</v>
      </c>
      <c r="AC57" s="132"/>
      <c r="AD57" s="132">
        <v>1</v>
      </c>
      <c r="AE57" s="132">
        <v>1</v>
      </c>
      <c r="AF57" s="132">
        <v>1</v>
      </c>
      <c r="AG57" s="132">
        <v>1</v>
      </c>
      <c r="AH57" s="176"/>
      <c r="AI57" s="174"/>
      <c r="AJ57" s="132"/>
      <c r="AK57" s="132"/>
      <c r="AL57" s="132"/>
      <c r="AM57" s="132"/>
      <c r="AN57" s="132"/>
      <c r="AO57" s="139"/>
      <c r="AP57" s="132"/>
      <c r="AQ57" s="132"/>
      <c r="AR57" s="132"/>
      <c r="AS57" s="132"/>
      <c r="AT57" s="132"/>
      <c r="AU57" s="132"/>
      <c r="AV57" s="132"/>
      <c r="AW57" s="132"/>
      <c r="AX57" s="132"/>
      <c r="AY57" s="139"/>
      <c r="AZ57" s="132"/>
      <c r="BA57" s="132"/>
      <c r="BB57" s="132"/>
      <c r="BC57" s="132"/>
      <c r="BD57" s="132"/>
      <c r="BE57" s="132"/>
      <c r="BF57" s="132"/>
      <c r="BG57" s="132"/>
      <c r="BH57" s="132"/>
      <c r="BI57" s="132"/>
      <c r="BJ57" s="139"/>
      <c r="BK57" s="132"/>
      <c r="BL57" s="132"/>
      <c r="BM57" s="132"/>
      <c r="BN57" s="132"/>
      <c r="BO57" s="132"/>
      <c r="BP57" s="132"/>
      <c r="BQ57" s="132"/>
      <c r="BR57" s="132"/>
      <c r="BS57" s="132"/>
      <c r="BT57" s="132"/>
      <c r="BU57" s="132"/>
      <c r="BV57" s="132"/>
      <c r="BW57" s="132"/>
      <c r="BX57" s="132"/>
      <c r="BY57" s="139"/>
      <c r="BZ57" s="132"/>
      <c r="CA57" s="132"/>
      <c r="CB57" s="132"/>
      <c r="CC57" s="132"/>
      <c r="CD57" s="132"/>
      <c r="CE57" s="132"/>
      <c r="CF57" s="132"/>
      <c r="CG57" s="132"/>
      <c r="CH57" s="132"/>
      <c r="CI57" s="132"/>
      <c r="CJ57" s="139"/>
      <c r="CK57" s="132"/>
      <c r="CL57" s="132"/>
      <c r="CM57" s="132"/>
      <c r="CN57" s="132"/>
      <c r="CO57" s="132"/>
      <c r="CP57" s="132"/>
      <c r="CQ57" s="132"/>
      <c r="CR57" s="132"/>
      <c r="CS57" s="132"/>
      <c r="CT57" s="139"/>
      <c r="CU57" s="132"/>
      <c r="CV57" s="132"/>
      <c r="CW57" s="132"/>
      <c r="CX57" s="132"/>
      <c r="CY57" s="132"/>
      <c r="CZ57" s="132"/>
      <c r="DA57" s="132"/>
      <c r="DB57" s="132"/>
      <c r="DC57" s="132"/>
      <c r="DD57" s="132"/>
      <c r="DE57" s="132"/>
      <c r="DF57" s="132"/>
      <c r="DG57" s="132"/>
      <c r="DH57" s="139"/>
      <c r="DI57" s="109"/>
      <c r="DJ57" s="109"/>
      <c r="DK57" s="109"/>
      <c r="DL57" s="109"/>
      <c r="DM57" s="109"/>
      <c r="DN57" s="109"/>
      <c r="DO57" s="109"/>
      <c r="DP57" s="109"/>
      <c r="DQ57" s="109"/>
      <c r="DR57" s="109"/>
      <c r="DS57" s="109"/>
      <c r="DT57" s="109"/>
      <c r="DU57" s="109"/>
      <c r="DV57" s="139"/>
      <c r="DW57" s="109"/>
      <c r="DX57" s="109"/>
      <c r="DY57" s="109"/>
      <c r="DZ57" s="133"/>
      <c r="EA57" s="109"/>
      <c r="EB57" s="133"/>
      <c r="EC57" s="109"/>
      <c r="ED57" s="109"/>
      <c r="EE57" s="132"/>
      <c r="EF57" s="132"/>
      <c r="EG57" s="132"/>
      <c r="EH57" s="132"/>
      <c r="EI57" s="132"/>
      <c r="EJ57" s="132"/>
      <c r="EK57" s="5">
        <f t="shared" si="8"/>
        <v>12</v>
      </c>
      <c r="EL57" s="5">
        <v>1</v>
      </c>
      <c r="EM57" s="5">
        <f t="shared" si="12"/>
        <v>12</v>
      </c>
      <c r="EN57" s="153">
        <v>0</v>
      </c>
      <c r="EO57" s="7">
        <f t="shared" si="13"/>
        <v>0</v>
      </c>
      <c r="EP57" s="40" t="str">
        <f t="shared" si="14"/>
        <v>NO</v>
      </c>
      <c r="EQ57" s="41" t="str">
        <f t="shared" si="15"/>
        <v>حمية رتاج</v>
      </c>
    </row>
    <row r="58" spans="1:150" x14ac:dyDescent="0.25">
      <c r="A58" s="129" t="s">
        <v>403</v>
      </c>
      <c r="B58" s="129"/>
      <c r="C58" s="130">
        <v>52</v>
      </c>
      <c r="D58" s="177"/>
      <c r="E58" s="175" t="s">
        <v>37</v>
      </c>
      <c r="F58" s="132" t="s">
        <v>37</v>
      </c>
      <c r="G58" s="132" t="s">
        <v>37</v>
      </c>
      <c r="H58" s="132" t="s">
        <v>37</v>
      </c>
      <c r="I58" s="132" t="s">
        <v>37</v>
      </c>
      <c r="J58" s="132" t="s">
        <v>37</v>
      </c>
      <c r="K58" s="132" t="s">
        <v>37</v>
      </c>
      <c r="L58" s="132" t="s">
        <v>37</v>
      </c>
      <c r="M58" s="132" t="s">
        <v>37</v>
      </c>
      <c r="N58" s="132" t="s">
        <v>37</v>
      </c>
      <c r="O58" s="132" t="s">
        <v>37</v>
      </c>
      <c r="P58" s="132" t="s">
        <v>37</v>
      </c>
      <c r="Q58" s="176" t="s">
        <v>37</v>
      </c>
      <c r="R58" s="175" t="s">
        <v>37</v>
      </c>
      <c r="S58" s="132" t="s">
        <v>37</v>
      </c>
      <c r="T58" s="132">
        <v>1</v>
      </c>
      <c r="U58" s="176">
        <v>1</v>
      </c>
      <c r="V58" s="175"/>
      <c r="W58" s="132">
        <v>1</v>
      </c>
      <c r="X58" s="132">
        <v>1</v>
      </c>
      <c r="Y58" s="132">
        <v>1</v>
      </c>
      <c r="Z58" s="132">
        <v>1</v>
      </c>
      <c r="AA58" s="132">
        <v>1</v>
      </c>
      <c r="AB58" s="132">
        <v>1</v>
      </c>
      <c r="AC58" s="132"/>
      <c r="AD58" s="132">
        <v>1</v>
      </c>
      <c r="AE58" s="132">
        <v>1</v>
      </c>
      <c r="AF58" s="132">
        <v>1</v>
      </c>
      <c r="AG58" s="132">
        <v>1</v>
      </c>
      <c r="AH58" s="176"/>
      <c r="AI58" s="174"/>
      <c r="AJ58" s="132"/>
      <c r="AK58" s="132"/>
      <c r="AL58" s="132"/>
      <c r="AM58" s="132"/>
      <c r="AN58" s="132"/>
      <c r="AO58" s="139"/>
      <c r="AP58" s="132"/>
      <c r="AQ58" s="132"/>
      <c r="AR58" s="132"/>
      <c r="AS58" s="132"/>
      <c r="AT58" s="132"/>
      <c r="AU58" s="132"/>
      <c r="AV58" s="132"/>
      <c r="AW58" s="132"/>
      <c r="AX58" s="132"/>
      <c r="AY58" s="139"/>
      <c r="AZ58" s="132"/>
      <c r="BA58" s="132"/>
      <c r="BB58" s="132"/>
      <c r="BC58" s="132"/>
      <c r="BD58" s="132"/>
      <c r="BE58" s="132"/>
      <c r="BF58" s="132"/>
      <c r="BG58" s="132"/>
      <c r="BH58" s="132"/>
      <c r="BI58" s="132"/>
      <c r="BJ58" s="139"/>
      <c r="BK58" s="132"/>
      <c r="BL58" s="132"/>
      <c r="BM58" s="132"/>
      <c r="BN58" s="132"/>
      <c r="BO58" s="132"/>
      <c r="BP58" s="132"/>
      <c r="BQ58" s="132"/>
      <c r="BR58" s="132"/>
      <c r="BS58" s="132"/>
      <c r="BT58" s="132"/>
      <c r="BU58" s="132"/>
      <c r="BV58" s="132"/>
      <c r="BW58" s="132"/>
      <c r="BX58" s="132"/>
      <c r="BY58" s="139"/>
      <c r="BZ58" s="132"/>
      <c r="CA58" s="132"/>
      <c r="CB58" s="132"/>
      <c r="CC58" s="132"/>
      <c r="CD58" s="132"/>
      <c r="CE58" s="132"/>
      <c r="CF58" s="132"/>
      <c r="CG58" s="132"/>
      <c r="CH58" s="132"/>
      <c r="CI58" s="132"/>
      <c r="CJ58" s="139"/>
      <c r="CK58" s="132"/>
      <c r="CL58" s="132"/>
      <c r="CM58" s="132"/>
      <c r="CN58" s="132"/>
      <c r="CO58" s="132"/>
      <c r="CP58" s="132"/>
      <c r="CQ58" s="132"/>
      <c r="CR58" s="132"/>
      <c r="CS58" s="132"/>
      <c r="CT58" s="139"/>
      <c r="CU58" s="132"/>
      <c r="CV58" s="132"/>
      <c r="CW58" s="132"/>
      <c r="CX58" s="132"/>
      <c r="CY58" s="132"/>
      <c r="CZ58" s="132"/>
      <c r="DA58" s="132"/>
      <c r="DB58" s="132"/>
      <c r="DC58" s="132"/>
      <c r="DD58" s="132"/>
      <c r="DE58" s="132"/>
      <c r="DF58" s="132"/>
      <c r="DG58" s="132"/>
      <c r="DH58" s="139"/>
      <c r="DI58" s="109"/>
      <c r="DJ58" s="109"/>
      <c r="DK58" s="109"/>
      <c r="DL58" s="109"/>
      <c r="DM58" s="109"/>
      <c r="DN58" s="109"/>
      <c r="DO58" s="109"/>
      <c r="DP58" s="109"/>
      <c r="DQ58" s="109"/>
      <c r="DR58" s="109"/>
      <c r="DS58" s="109"/>
      <c r="DT58" s="109"/>
      <c r="DU58" s="109"/>
      <c r="DV58" s="139"/>
      <c r="DW58" s="109"/>
      <c r="DX58" s="109"/>
      <c r="DY58" s="109"/>
      <c r="DZ58" s="133"/>
      <c r="EA58" s="109"/>
      <c r="EB58" s="133"/>
      <c r="EC58" s="109"/>
      <c r="ED58" s="109"/>
      <c r="EE58" s="132"/>
      <c r="EF58" s="132"/>
      <c r="EG58" s="132"/>
      <c r="EH58" s="132"/>
      <c r="EI58" s="132"/>
      <c r="EJ58" s="132"/>
      <c r="EK58" s="5">
        <f t="shared" ref="EK58:EK74" si="16">SUM(E58:EJ58)</f>
        <v>12</v>
      </c>
      <c r="EL58" s="5">
        <v>1</v>
      </c>
      <c r="EM58" s="5">
        <f t="shared" ref="EM58:EM74" si="17">EL58*12</f>
        <v>12</v>
      </c>
      <c r="EN58" s="153">
        <v>0</v>
      </c>
      <c r="EO58" s="7">
        <f t="shared" si="13"/>
        <v>0</v>
      </c>
      <c r="EP58" s="40" t="str">
        <f t="shared" si="14"/>
        <v>NO</v>
      </c>
      <c r="EQ58" s="41" t="str">
        <f t="shared" si="15"/>
        <v>حمية رجاء</v>
      </c>
    </row>
    <row r="59" spans="1:150" x14ac:dyDescent="0.25">
      <c r="A59" s="129" t="s">
        <v>404</v>
      </c>
      <c r="B59" s="129"/>
      <c r="C59" s="130">
        <v>53</v>
      </c>
      <c r="D59" s="177"/>
      <c r="E59" s="175" t="s">
        <v>37</v>
      </c>
      <c r="F59" s="132" t="s">
        <v>37</v>
      </c>
      <c r="G59" s="132" t="s">
        <v>37</v>
      </c>
      <c r="H59" s="132" t="s">
        <v>37</v>
      </c>
      <c r="I59" s="132" t="s">
        <v>37</v>
      </c>
      <c r="J59" s="132" t="s">
        <v>37</v>
      </c>
      <c r="K59" s="132" t="s">
        <v>37</v>
      </c>
      <c r="L59" s="132" t="s">
        <v>37</v>
      </c>
      <c r="M59" s="132" t="s">
        <v>37</v>
      </c>
      <c r="N59" s="132" t="s">
        <v>37</v>
      </c>
      <c r="O59" s="132" t="s">
        <v>37</v>
      </c>
      <c r="P59" s="132" t="s">
        <v>37</v>
      </c>
      <c r="Q59" s="176" t="s">
        <v>37</v>
      </c>
      <c r="R59" s="175" t="s">
        <v>37</v>
      </c>
      <c r="S59" s="132" t="s">
        <v>37</v>
      </c>
      <c r="T59" s="132">
        <v>1</v>
      </c>
      <c r="U59" s="176">
        <v>1</v>
      </c>
      <c r="V59" s="175"/>
      <c r="W59" s="132">
        <v>1</v>
      </c>
      <c r="X59" s="132">
        <v>1</v>
      </c>
      <c r="Y59" s="132">
        <v>1</v>
      </c>
      <c r="Z59" s="132">
        <v>1</v>
      </c>
      <c r="AA59" s="132">
        <v>1</v>
      </c>
      <c r="AB59" s="132"/>
      <c r="AC59" s="132"/>
      <c r="AD59" s="132">
        <v>1</v>
      </c>
      <c r="AE59" s="132">
        <v>1</v>
      </c>
      <c r="AF59" s="132">
        <v>1</v>
      </c>
      <c r="AG59" s="132">
        <v>1</v>
      </c>
      <c r="AH59" s="176"/>
      <c r="AI59" s="174"/>
      <c r="AJ59" s="132"/>
      <c r="AK59" s="132"/>
      <c r="AL59" s="132"/>
      <c r="AM59" s="132"/>
      <c r="AN59" s="132"/>
      <c r="AO59" s="139"/>
      <c r="AP59" s="132"/>
      <c r="AQ59" s="132"/>
      <c r="AR59" s="132"/>
      <c r="AS59" s="132"/>
      <c r="AT59" s="132"/>
      <c r="AU59" s="132"/>
      <c r="AV59" s="132"/>
      <c r="AW59" s="132"/>
      <c r="AX59" s="132"/>
      <c r="AY59" s="139"/>
      <c r="AZ59" s="132"/>
      <c r="BA59" s="132"/>
      <c r="BB59" s="132"/>
      <c r="BC59" s="132"/>
      <c r="BD59" s="132"/>
      <c r="BE59" s="132"/>
      <c r="BF59" s="132"/>
      <c r="BG59" s="132"/>
      <c r="BH59" s="132"/>
      <c r="BI59" s="132"/>
      <c r="BJ59" s="139"/>
      <c r="BK59" s="132"/>
      <c r="BL59" s="132"/>
      <c r="BM59" s="132"/>
      <c r="BN59" s="132"/>
      <c r="BO59" s="132"/>
      <c r="BP59" s="132"/>
      <c r="BQ59" s="132"/>
      <c r="BR59" s="132"/>
      <c r="BS59" s="132"/>
      <c r="BT59" s="132"/>
      <c r="BU59" s="132"/>
      <c r="BV59" s="132"/>
      <c r="BW59" s="132"/>
      <c r="BX59" s="132"/>
      <c r="BY59" s="139"/>
      <c r="BZ59" s="132"/>
      <c r="CA59" s="132"/>
      <c r="CB59" s="132"/>
      <c r="CC59" s="132"/>
      <c r="CD59" s="132"/>
      <c r="CE59" s="132"/>
      <c r="CF59" s="132"/>
      <c r="CG59" s="132"/>
      <c r="CH59" s="132"/>
      <c r="CI59" s="132"/>
      <c r="CJ59" s="139"/>
      <c r="CK59" s="132"/>
      <c r="CL59" s="132"/>
      <c r="CM59" s="132"/>
      <c r="CN59" s="132"/>
      <c r="CO59" s="132"/>
      <c r="CP59" s="132"/>
      <c r="CQ59" s="132"/>
      <c r="CR59" s="132"/>
      <c r="CS59" s="132"/>
      <c r="CT59" s="139"/>
      <c r="CU59" s="132"/>
      <c r="CV59" s="132"/>
      <c r="CW59" s="132"/>
      <c r="CX59" s="132"/>
      <c r="CY59" s="132"/>
      <c r="CZ59" s="132"/>
      <c r="DA59" s="132"/>
      <c r="DB59" s="132"/>
      <c r="DC59" s="132"/>
      <c r="DD59" s="132"/>
      <c r="DE59" s="132"/>
      <c r="DF59" s="132"/>
      <c r="DG59" s="132"/>
      <c r="DH59" s="139"/>
      <c r="DI59" s="109"/>
      <c r="DJ59" s="109"/>
      <c r="DK59" s="109"/>
      <c r="DL59" s="109"/>
      <c r="DM59" s="109"/>
      <c r="DN59" s="109"/>
      <c r="DO59" s="109"/>
      <c r="DP59" s="109"/>
      <c r="DQ59" s="109"/>
      <c r="DR59" s="109"/>
      <c r="DS59" s="109"/>
      <c r="DT59" s="109"/>
      <c r="DU59" s="109"/>
      <c r="DV59" s="139"/>
      <c r="DW59" s="109"/>
      <c r="DX59" s="109"/>
      <c r="DY59" s="109"/>
      <c r="DZ59" s="133"/>
      <c r="EA59" s="109"/>
      <c r="EB59" s="133"/>
      <c r="EC59" s="109"/>
      <c r="ED59" s="109"/>
      <c r="EE59" s="132"/>
      <c r="EF59" s="132"/>
      <c r="EG59" s="132"/>
      <c r="EH59" s="132"/>
      <c r="EI59" s="132"/>
      <c r="EJ59" s="132"/>
      <c r="EK59" s="5">
        <f t="shared" si="16"/>
        <v>11</v>
      </c>
      <c r="EL59" s="5">
        <v>1</v>
      </c>
      <c r="EM59" s="5">
        <f t="shared" si="17"/>
        <v>12</v>
      </c>
      <c r="EN59" s="153">
        <v>0</v>
      </c>
      <c r="EO59" s="7">
        <f t="shared" si="13"/>
        <v>1</v>
      </c>
      <c r="EP59" s="40" t="str">
        <f t="shared" si="14"/>
        <v/>
      </c>
      <c r="EQ59" s="41" t="str">
        <f t="shared" si="15"/>
        <v/>
      </c>
    </row>
    <row r="60" spans="1:150" x14ac:dyDescent="0.25">
      <c r="A60" s="129" t="s">
        <v>398</v>
      </c>
      <c r="B60" s="129"/>
      <c r="C60" s="130">
        <v>54</v>
      </c>
      <c r="D60" s="177"/>
      <c r="E60" s="175" t="s">
        <v>37</v>
      </c>
      <c r="F60" s="132" t="s">
        <v>37</v>
      </c>
      <c r="G60" s="132" t="s">
        <v>37</v>
      </c>
      <c r="H60" s="132" t="s">
        <v>37</v>
      </c>
      <c r="I60" s="132" t="s">
        <v>37</v>
      </c>
      <c r="J60" s="132" t="s">
        <v>37</v>
      </c>
      <c r="K60" s="132" t="s">
        <v>37</v>
      </c>
      <c r="L60" s="132" t="s">
        <v>37</v>
      </c>
      <c r="M60" s="132" t="s">
        <v>37</v>
      </c>
      <c r="N60" s="132" t="s">
        <v>37</v>
      </c>
      <c r="O60" s="132" t="s">
        <v>37</v>
      </c>
      <c r="P60" s="132" t="s">
        <v>37</v>
      </c>
      <c r="Q60" s="176" t="s">
        <v>37</v>
      </c>
      <c r="R60" s="175" t="s">
        <v>37</v>
      </c>
      <c r="S60" s="132" t="s">
        <v>37</v>
      </c>
      <c r="T60" s="132">
        <v>1</v>
      </c>
      <c r="U60" s="176">
        <v>1</v>
      </c>
      <c r="V60" s="175">
        <v>1</v>
      </c>
      <c r="W60" s="132"/>
      <c r="X60" s="132">
        <v>1</v>
      </c>
      <c r="Y60" s="132">
        <v>1</v>
      </c>
      <c r="Z60" s="132"/>
      <c r="AA60" s="132">
        <v>1</v>
      </c>
      <c r="AB60" s="132">
        <v>1</v>
      </c>
      <c r="AC60" s="132"/>
      <c r="AD60" s="132"/>
      <c r="AE60" s="132">
        <v>1</v>
      </c>
      <c r="AF60" s="132"/>
      <c r="AG60" s="132"/>
      <c r="AH60" s="176"/>
      <c r="AI60" s="174"/>
      <c r="AJ60" s="132"/>
      <c r="AK60" s="132"/>
      <c r="AL60" s="132"/>
      <c r="AM60" s="132"/>
      <c r="AN60" s="132"/>
      <c r="AO60" s="139"/>
      <c r="AP60" s="132"/>
      <c r="AQ60" s="132"/>
      <c r="AR60" s="132"/>
      <c r="AS60" s="132"/>
      <c r="AT60" s="132"/>
      <c r="AU60" s="132"/>
      <c r="AV60" s="132"/>
      <c r="AW60" s="132"/>
      <c r="AX60" s="132"/>
      <c r="AY60" s="139"/>
      <c r="AZ60" s="132"/>
      <c r="BA60" s="132"/>
      <c r="BB60" s="132"/>
      <c r="BC60" s="132"/>
      <c r="BD60" s="132"/>
      <c r="BE60" s="132"/>
      <c r="BF60" s="132"/>
      <c r="BG60" s="132"/>
      <c r="BH60" s="132"/>
      <c r="BI60" s="132"/>
      <c r="BJ60" s="139"/>
      <c r="BK60" s="132"/>
      <c r="BL60" s="132"/>
      <c r="BM60" s="132"/>
      <c r="BN60" s="132"/>
      <c r="BO60" s="132"/>
      <c r="BP60" s="132"/>
      <c r="BQ60" s="132"/>
      <c r="BR60" s="132"/>
      <c r="BS60" s="132"/>
      <c r="BT60" s="132"/>
      <c r="BU60" s="132"/>
      <c r="BV60" s="132"/>
      <c r="BW60" s="132"/>
      <c r="BX60" s="132"/>
      <c r="BY60" s="139"/>
      <c r="BZ60" s="132"/>
      <c r="CA60" s="132"/>
      <c r="CB60" s="132"/>
      <c r="CC60" s="132"/>
      <c r="CD60" s="132"/>
      <c r="CE60" s="132"/>
      <c r="CF60" s="132"/>
      <c r="CG60" s="132"/>
      <c r="CH60" s="132"/>
      <c r="CI60" s="132"/>
      <c r="CJ60" s="139"/>
      <c r="CK60" s="132"/>
      <c r="CL60" s="132"/>
      <c r="CM60" s="132"/>
      <c r="CN60" s="132"/>
      <c r="CO60" s="132"/>
      <c r="CP60" s="132"/>
      <c r="CQ60" s="132"/>
      <c r="CR60" s="132"/>
      <c r="CS60" s="132"/>
      <c r="CT60" s="139"/>
      <c r="CU60" s="132"/>
      <c r="CV60" s="132"/>
      <c r="CW60" s="132"/>
      <c r="CX60" s="132"/>
      <c r="CY60" s="132"/>
      <c r="CZ60" s="132"/>
      <c r="DA60" s="132"/>
      <c r="DB60" s="132"/>
      <c r="DC60" s="132"/>
      <c r="DD60" s="132"/>
      <c r="DE60" s="132"/>
      <c r="DF60" s="132"/>
      <c r="DG60" s="132"/>
      <c r="DH60" s="139"/>
      <c r="DI60" s="109"/>
      <c r="DJ60" s="109"/>
      <c r="DK60" s="109"/>
      <c r="DL60" s="109"/>
      <c r="DM60" s="109"/>
      <c r="DN60" s="109"/>
      <c r="DO60" s="109"/>
      <c r="DP60" s="109"/>
      <c r="DQ60" s="109"/>
      <c r="DR60" s="109"/>
      <c r="DS60" s="109"/>
      <c r="DT60" s="109"/>
      <c r="DU60" s="109"/>
      <c r="DV60" s="139"/>
      <c r="DW60" s="109"/>
      <c r="DX60" s="109"/>
      <c r="DY60" s="109"/>
      <c r="DZ60" s="133"/>
      <c r="EA60" s="109"/>
      <c r="EB60" s="133"/>
      <c r="EC60" s="109"/>
      <c r="ED60" s="109"/>
      <c r="EE60" s="132"/>
      <c r="EF60" s="132"/>
      <c r="EG60" s="132"/>
      <c r="EH60" s="132"/>
      <c r="EI60" s="132"/>
      <c r="EJ60" s="132"/>
      <c r="EK60" s="5">
        <f t="shared" si="16"/>
        <v>8</v>
      </c>
      <c r="EL60" s="5">
        <v>1</v>
      </c>
      <c r="EM60" s="5">
        <f t="shared" si="17"/>
        <v>12</v>
      </c>
      <c r="EN60" s="153">
        <v>0</v>
      </c>
      <c r="EO60" s="7">
        <f t="shared" si="13"/>
        <v>4</v>
      </c>
      <c r="EP60" s="40" t="str">
        <f t="shared" si="14"/>
        <v/>
      </c>
      <c r="EQ60" s="41" t="str">
        <f t="shared" si="15"/>
        <v/>
      </c>
    </row>
    <row r="61" spans="1:150" x14ac:dyDescent="0.25">
      <c r="A61" s="129" t="s">
        <v>409</v>
      </c>
      <c r="B61" s="129"/>
      <c r="C61" s="130">
        <v>55</v>
      </c>
      <c r="D61" s="177"/>
      <c r="E61" s="175" t="s">
        <v>37</v>
      </c>
      <c r="F61" s="132" t="s">
        <v>37</v>
      </c>
      <c r="G61" s="132" t="s">
        <v>37</v>
      </c>
      <c r="H61" s="132" t="s">
        <v>37</v>
      </c>
      <c r="I61" s="132" t="s">
        <v>37</v>
      </c>
      <c r="J61" s="132" t="s">
        <v>37</v>
      </c>
      <c r="K61" s="132" t="s">
        <v>37</v>
      </c>
      <c r="L61" s="132" t="s">
        <v>37</v>
      </c>
      <c r="M61" s="132" t="s">
        <v>37</v>
      </c>
      <c r="N61" s="132" t="s">
        <v>37</v>
      </c>
      <c r="O61" s="132" t="s">
        <v>37</v>
      </c>
      <c r="P61" s="132" t="s">
        <v>37</v>
      </c>
      <c r="Q61" s="176" t="s">
        <v>37</v>
      </c>
      <c r="R61" s="175" t="s">
        <v>37</v>
      </c>
      <c r="S61" s="132" t="s">
        <v>37</v>
      </c>
      <c r="T61" s="132" t="s">
        <v>37</v>
      </c>
      <c r="U61" s="176" t="s">
        <v>37</v>
      </c>
      <c r="V61" s="175" t="s">
        <v>37</v>
      </c>
      <c r="W61" s="132">
        <v>1</v>
      </c>
      <c r="X61" s="132">
        <v>1</v>
      </c>
      <c r="Y61" s="132"/>
      <c r="Z61" s="132">
        <v>1</v>
      </c>
      <c r="AA61" s="132">
        <v>1</v>
      </c>
      <c r="AB61" s="132">
        <v>1</v>
      </c>
      <c r="AC61" s="132">
        <v>1</v>
      </c>
      <c r="AD61" s="132">
        <v>1</v>
      </c>
      <c r="AE61" s="132">
        <v>1</v>
      </c>
      <c r="AF61" s="132">
        <v>1</v>
      </c>
      <c r="AG61" s="132">
        <v>1</v>
      </c>
      <c r="AH61" s="176"/>
      <c r="AI61" s="174"/>
      <c r="AJ61" s="132"/>
      <c r="AK61" s="132"/>
      <c r="AL61" s="132"/>
      <c r="AM61" s="132"/>
      <c r="AN61" s="132"/>
      <c r="AO61" s="139"/>
      <c r="AP61" s="132"/>
      <c r="AQ61" s="132"/>
      <c r="AR61" s="132"/>
      <c r="AS61" s="132"/>
      <c r="AT61" s="132"/>
      <c r="AU61" s="132"/>
      <c r="AV61" s="132"/>
      <c r="AW61" s="132"/>
      <c r="AX61" s="132"/>
      <c r="AY61" s="139"/>
      <c r="AZ61" s="132"/>
      <c r="BA61" s="132"/>
      <c r="BB61" s="132"/>
      <c r="BC61" s="132"/>
      <c r="BD61" s="132"/>
      <c r="BE61" s="132"/>
      <c r="BF61" s="132"/>
      <c r="BG61" s="132"/>
      <c r="BH61" s="132"/>
      <c r="BI61" s="132"/>
      <c r="BJ61" s="139"/>
      <c r="BK61" s="132"/>
      <c r="BL61" s="132"/>
      <c r="BM61" s="132"/>
      <c r="BN61" s="132"/>
      <c r="BO61" s="132"/>
      <c r="BP61" s="132"/>
      <c r="BQ61" s="132"/>
      <c r="BR61" s="132"/>
      <c r="BS61" s="132"/>
      <c r="BT61" s="132"/>
      <c r="BU61" s="132"/>
      <c r="BV61" s="132"/>
      <c r="BW61" s="132"/>
      <c r="BX61" s="132"/>
      <c r="BY61" s="139"/>
      <c r="BZ61" s="132"/>
      <c r="CA61" s="132"/>
      <c r="CB61" s="132"/>
      <c r="CC61" s="132"/>
      <c r="CD61" s="132"/>
      <c r="CE61" s="132"/>
      <c r="CF61" s="132"/>
      <c r="CG61" s="132"/>
      <c r="CH61" s="132"/>
      <c r="CI61" s="132"/>
      <c r="CJ61" s="139"/>
      <c r="CK61" s="132"/>
      <c r="CL61" s="132"/>
      <c r="CM61" s="132"/>
      <c r="CN61" s="132"/>
      <c r="CO61" s="132"/>
      <c r="CP61" s="132"/>
      <c r="CQ61" s="132"/>
      <c r="CR61" s="132"/>
      <c r="CS61" s="132"/>
      <c r="CT61" s="139"/>
      <c r="CU61" s="132"/>
      <c r="CV61" s="132"/>
      <c r="CW61" s="132"/>
      <c r="CX61" s="132"/>
      <c r="CY61" s="132"/>
      <c r="CZ61" s="132"/>
      <c r="DA61" s="132"/>
      <c r="DB61" s="132"/>
      <c r="DC61" s="132"/>
      <c r="DD61" s="132"/>
      <c r="DE61" s="132"/>
      <c r="DF61" s="132"/>
      <c r="DG61" s="132"/>
      <c r="DH61" s="139"/>
      <c r="DI61" s="109"/>
      <c r="DJ61" s="109"/>
      <c r="DK61" s="109"/>
      <c r="DL61" s="109"/>
      <c r="DM61" s="109"/>
      <c r="DN61" s="109"/>
      <c r="DO61" s="109"/>
      <c r="DP61" s="109"/>
      <c r="DQ61" s="109"/>
      <c r="DR61" s="109"/>
      <c r="DS61" s="109"/>
      <c r="DT61" s="109"/>
      <c r="DU61" s="109"/>
      <c r="DV61" s="139"/>
      <c r="DW61" s="109"/>
      <c r="DX61" s="109"/>
      <c r="DY61" s="109"/>
      <c r="DZ61" s="133"/>
      <c r="EA61" s="109"/>
      <c r="EB61" s="133"/>
      <c r="EC61" s="109"/>
      <c r="ED61" s="109"/>
      <c r="EE61" s="132"/>
      <c r="EF61" s="132"/>
      <c r="EG61" s="132"/>
      <c r="EH61" s="132"/>
      <c r="EI61" s="132"/>
      <c r="EJ61" s="132"/>
      <c r="EK61" s="5">
        <f t="shared" si="16"/>
        <v>10</v>
      </c>
      <c r="EL61" s="5">
        <v>1</v>
      </c>
      <c r="EM61" s="5">
        <f t="shared" si="17"/>
        <v>12</v>
      </c>
      <c r="EN61" s="153">
        <v>0</v>
      </c>
      <c r="EO61" s="7">
        <f t="shared" si="13"/>
        <v>2</v>
      </c>
      <c r="EP61" s="40" t="str">
        <f t="shared" si="14"/>
        <v/>
      </c>
      <c r="EQ61" s="41" t="str">
        <f t="shared" si="15"/>
        <v/>
      </c>
    </row>
    <row r="62" spans="1:150" x14ac:dyDescent="0.25">
      <c r="A62" s="129" t="s">
        <v>410</v>
      </c>
      <c r="B62" s="129"/>
      <c r="C62" s="130">
        <v>56</v>
      </c>
      <c r="D62" s="177"/>
      <c r="E62" s="175" t="s">
        <v>37</v>
      </c>
      <c r="F62" s="132" t="s">
        <v>37</v>
      </c>
      <c r="G62" s="132" t="s">
        <v>37</v>
      </c>
      <c r="H62" s="132" t="s">
        <v>37</v>
      </c>
      <c r="I62" s="132" t="s">
        <v>37</v>
      </c>
      <c r="J62" s="132" t="s">
        <v>37</v>
      </c>
      <c r="K62" s="132" t="s">
        <v>37</v>
      </c>
      <c r="L62" s="132" t="s">
        <v>37</v>
      </c>
      <c r="M62" s="132" t="s">
        <v>37</v>
      </c>
      <c r="N62" s="132" t="s">
        <v>37</v>
      </c>
      <c r="O62" s="132" t="s">
        <v>37</v>
      </c>
      <c r="P62" s="132" t="s">
        <v>37</v>
      </c>
      <c r="Q62" s="176" t="s">
        <v>37</v>
      </c>
      <c r="R62" s="175" t="s">
        <v>37</v>
      </c>
      <c r="S62" s="132" t="s">
        <v>37</v>
      </c>
      <c r="T62" s="132" t="s">
        <v>37</v>
      </c>
      <c r="U62" s="176">
        <v>1</v>
      </c>
      <c r="V62" s="175" t="s">
        <v>37</v>
      </c>
      <c r="W62" s="132">
        <v>1</v>
      </c>
      <c r="X62" s="132">
        <v>1</v>
      </c>
      <c r="Y62" s="132">
        <v>1</v>
      </c>
      <c r="Z62" s="132">
        <v>1</v>
      </c>
      <c r="AA62" s="132"/>
      <c r="AB62" s="132">
        <v>1</v>
      </c>
      <c r="AC62" s="132"/>
      <c r="AD62" s="132"/>
      <c r="AE62" s="132"/>
      <c r="AF62" s="132"/>
      <c r="AG62" s="132"/>
      <c r="AH62" s="176"/>
      <c r="AI62" s="174"/>
      <c r="AJ62" s="132"/>
      <c r="AK62" s="132"/>
      <c r="AL62" s="132"/>
      <c r="AM62" s="132"/>
      <c r="AN62" s="132"/>
      <c r="AO62" s="139"/>
      <c r="AP62" s="132"/>
      <c r="AQ62" s="132"/>
      <c r="AR62" s="132"/>
      <c r="AS62" s="132"/>
      <c r="AT62" s="132"/>
      <c r="AU62" s="132"/>
      <c r="AV62" s="132"/>
      <c r="AW62" s="132"/>
      <c r="AX62" s="132"/>
      <c r="AY62" s="139"/>
      <c r="AZ62" s="132"/>
      <c r="BA62" s="132"/>
      <c r="BB62" s="132"/>
      <c r="BC62" s="132"/>
      <c r="BD62" s="132"/>
      <c r="BE62" s="132"/>
      <c r="BF62" s="132"/>
      <c r="BG62" s="132"/>
      <c r="BH62" s="132"/>
      <c r="BI62" s="132"/>
      <c r="BJ62" s="139"/>
      <c r="BK62" s="132"/>
      <c r="BL62" s="132"/>
      <c r="BM62" s="132"/>
      <c r="BN62" s="132"/>
      <c r="BO62" s="132"/>
      <c r="BP62" s="132"/>
      <c r="BQ62" s="132"/>
      <c r="BR62" s="132"/>
      <c r="BS62" s="132"/>
      <c r="BT62" s="132"/>
      <c r="BU62" s="132"/>
      <c r="BV62" s="132"/>
      <c r="BW62" s="132"/>
      <c r="BX62" s="132"/>
      <c r="BY62" s="139"/>
      <c r="BZ62" s="132"/>
      <c r="CA62" s="132"/>
      <c r="CB62" s="132"/>
      <c r="CC62" s="132"/>
      <c r="CD62" s="132"/>
      <c r="CE62" s="132"/>
      <c r="CF62" s="132"/>
      <c r="CG62" s="132"/>
      <c r="CH62" s="132"/>
      <c r="CI62" s="132"/>
      <c r="CJ62" s="139"/>
      <c r="CK62" s="132"/>
      <c r="CL62" s="132"/>
      <c r="CM62" s="132"/>
      <c r="CN62" s="132"/>
      <c r="CO62" s="132"/>
      <c r="CP62" s="132"/>
      <c r="CQ62" s="132"/>
      <c r="CR62" s="132"/>
      <c r="CS62" s="132"/>
      <c r="CT62" s="139"/>
      <c r="CU62" s="132"/>
      <c r="CV62" s="132"/>
      <c r="CW62" s="132"/>
      <c r="CX62" s="132"/>
      <c r="CY62" s="132"/>
      <c r="CZ62" s="132"/>
      <c r="DA62" s="132"/>
      <c r="DB62" s="132"/>
      <c r="DC62" s="132"/>
      <c r="DD62" s="132"/>
      <c r="DE62" s="132"/>
      <c r="DF62" s="132"/>
      <c r="DG62" s="132"/>
      <c r="DH62" s="139"/>
      <c r="DI62" s="109"/>
      <c r="DJ62" s="109"/>
      <c r="DK62" s="109"/>
      <c r="DL62" s="109"/>
      <c r="DM62" s="109"/>
      <c r="DN62" s="109"/>
      <c r="DO62" s="109"/>
      <c r="DP62" s="109"/>
      <c r="DQ62" s="109"/>
      <c r="DR62" s="109"/>
      <c r="DS62" s="109"/>
      <c r="DT62" s="109"/>
      <c r="DU62" s="109"/>
      <c r="DV62" s="139"/>
      <c r="DW62" s="109"/>
      <c r="DX62" s="109"/>
      <c r="DY62" s="109"/>
      <c r="DZ62" s="133"/>
      <c r="EA62" s="109"/>
      <c r="EB62" s="133"/>
      <c r="EC62" s="109"/>
      <c r="ED62" s="109"/>
      <c r="EE62" s="132"/>
      <c r="EF62" s="132"/>
      <c r="EG62" s="132"/>
      <c r="EH62" s="132"/>
      <c r="EI62" s="132"/>
      <c r="EJ62" s="132"/>
      <c r="EK62" s="5">
        <f t="shared" si="16"/>
        <v>6</v>
      </c>
      <c r="EL62" s="5">
        <v>1</v>
      </c>
      <c r="EM62" s="5">
        <f t="shared" si="17"/>
        <v>12</v>
      </c>
      <c r="EN62" s="153">
        <v>0</v>
      </c>
      <c r="EO62" s="7">
        <f t="shared" si="13"/>
        <v>6</v>
      </c>
      <c r="EP62" s="40" t="str">
        <f t="shared" si="14"/>
        <v/>
      </c>
      <c r="EQ62" s="41" t="str">
        <f t="shared" si="15"/>
        <v/>
      </c>
    </row>
    <row r="63" spans="1:150" x14ac:dyDescent="0.25">
      <c r="A63" s="129" t="s">
        <v>413</v>
      </c>
      <c r="B63" s="129"/>
      <c r="C63" s="130">
        <v>57</v>
      </c>
      <c r="D63" s="177"/>
      <c r="E63" s="175" t="s">
        <v>37</v>
      </c>
      <c r="F63" s="132" t="s">
        <v>37</v>
      </c>
      <c r="G63" s="132" t="s">
        <v>37</v>
      </c>
      <c r="H63" s="132" t="s">
        <v>37</v>
      </c>
      <c r="I63" s="132" t="s">
        <v>37</v>
      </c>
      <c r="J63" s="132" t="s">
        <v>37</v>
      </c>
      <c r="K63" s="132" t="s">
        <v>37</v>
      </c>
      <c r="L63" s="132" t="s">
        <v>37</v>
      </c>
      <c r="M63" s="132" t="s">
        <v>37</v>
      </c>
      <c r="N63" s="132" t="s">
        <v>37</v>
      </c>
      <c r="O63" s="132" t="s">
        <v>37</v>
      </c>
      <c r="P63" s="132" t="s">
        <v>37</v>
      </c>
      <c r="Q63" s="176" t="s">
        <v>37</v>
      </c>
      <c r="R63" s="175" t="s">
        <v>37</v>
      </c>
      <c r="S63" s="132" t="s">
        <v>37</v>
      </c>
      <c r="T63" s="132" t="s">
        <v>37</v>
      </c>
      <c r="U63" s="132" t="s">
        <v>37</v>
      </c>
      <c r="V63" s="132" t="s">
        <v>37</v>
      </c>
      <c r="W63" s="132" t="s">
        <v>37</v>
      </c>
      <c r="X63" s="132" t="s">
        <v>37</v>
      </c>
      <c r="Y63" s="132">
        <v>1</v>
      </c>
      <c r="Z63" s="132"/>
      <c r="AA63" s="132">
        <v>1</v>
      </c>
      <c r="AB63" s="132">
        <v>1</v>
      </c>
      <c r="AC63" s="132">
        <v>1</v>
      </c>
      <c r="AD63" s="132">
        <v>1</v>
      </c>
      <c r="AE63" s="132">
        <v>1</v>
      </c>
      <c r="AF63" s="132">
        <v>1</v>
      </c>
      <c r="AG63" s="132">
        <v>1</v>
      </c>
      <c r="AH63" s="176"/>
      <c r="AI63" s="174"/>
      <c r="AJ63" s="132"/>
      <c r="AK63" s="132"/>
      <c r="AL63" s="132"/>
      <c r="AM63" s="132"/>
      <c r="AN63" s="132"/>
      <c r="AO63" s="139"/>
      <c r="AP63" s="132"/>
      <c r="AQ63" s="132"/>
      <c r="AR63" s="132"/>
      <c r="AS63" s="132"/>
      <c r="AT63" s="132"/>
      <c r="AU63" s="132"/>
      <c r="AV63" s="132"/>
      <c r="AW63" s="132"/>
      <c r="AX63" s="132"/>
      <c r="AY63" s="139"/>
      <c r="AZ63" s="132"/>
      <c r="BA63" s="132"/>
      <c r="BB63" s="132"/>
      <c r="BC63" s="132"/>
      <c r="BD63" s="132"/>
      <c r="BE63" s="132"/>
      <c r="BF63" s="132"/>
      <c r="BG63" s="132"/>
      <c r="BH63" s="132"/>
      <c r="BI63" s="132"/>
      <c r="BJ63" s="139"/>
      <c r="BK63" s="132"/>
      <c r="BL63" s="132"/>
      <c r="BM63" s="132"/>
      <c r="BN63" s="132"/>
      <c r="BO63" s="132"/>
      <c r="BP63" s="132"/>
      <c r="BQ63" s="132"/>
      <c r="BR63" s="132"/>
      <c r="BS63" s="132"/>
      <c r="BT63" s="132"/>
      <c r="BU63" s="132"/>
      <c r="BV63" s="132"/>
      <c r="BW63" s="132"/>
      <c r="BX63" s="132"/>
      <c r="BY63" s="139"/>
      <c r="BZ63" s="132"/>
      <c r="CA63" s="132"/>
      <c r="CB63" s="132"/>
      <c r="CC63" s="132"/>
      <c r="CD63" s="132"/>
      <c r="CE63" s="132"/>
      <c r="CF63" s="132"/>
      <c r="CG63" s="132"/>
      <c r="CH63" s="132"/>
      <c r="CI63" s="132"/>
      <c r="CJ63" s="139"/>
      <c r="CK63" s="132"/>
      <c r="CL63" s="132"/>
      <c r="CM63" s="132"/>
      <c r="CN63" s="132"/>
      <c r="CO63" s="132"/>
      <c r="CP63" s="132"/>
      <c r="CQ63" s="132"/>
      <c r="CR63" s="132"/>
      <c r="CS63" s="132"/>
      <c r="CT63" s="139"/>
      <c r="CU63" s="132"/>
      <c r="CV63" s="132"/>
      <c r="CW63" s="132"/>
      <c r="CX63" s="132"/>
      <c r="CY63" s="132"/>
      <c r="CZ63" s="132"/>
      <c r="DA63" s="132"/>
      <c r="DB63" s="132"/>
      <c r="DC63" s="132"/>
      <c r="DD63" s="132"/>
      <c r="DE63" s="132"/>
      <c r="DF63" s="132"/>
      <c r="DG63" s="132"/>
      <c r="DH63" s="139"/>
      <c r="DI63" s="109"/>
      <c r="DJ63" s="109"/>
      <c r="DK63" s="109"/>
      <c r="DL63" s="109"/>
      <c r="DM63" s="109"/>
      <c r="DN63" s="109"/>
      <c r="DO63" s="109"/>
      <c r="DP63" s="109"/>
      <c r="DQ63" s="109"/>
      <c r="DR63" s="109"/>
      <c r="DS63" s="109"/>
      <c r="DT63" s="109"/>
      <c r="DU63" s="109"/>
      <c r="DV63" s="139"/>
      <c r="DW63" s="109"/>
      <c r="DX63" s="109"/>
      <c r="DY63" s="109"/>
      <c r="DZ63" s="133"/>
      <c r="EA63" s="109"/>
      <c r="EB63" s="133"/>
      <c r="EC63" s="109"/>
      <c r="ED63" s="109"/>
      <c r="EE63" s="132"/>
      <c r="EF63" s="132"/>
      <c r="EG63" s="132"/>
      <c r="EH63" s="132"/>
      <c r="EI63" s="132"/>
      <c r="EJ63" s="132"/>
      <c r="EK63" s="5">
        <f t="shared" si="16"/>
        <v>8</v>
      </c>
      <c r="EL63" s="5">
        <v>1</v>
      </c>
      <c r="EM63" s="5">
        <f t="shared" si="17"/>
        <v>12</v>
      </c>
      <c r="EN63" s="153">
        <v>0</v>
      </c>
      <c r="EO63" s="7">
        <f t="shared" si="13"/>
        <v>4</v>
      </c>
      <c r="EP63" s="40" t="str">
        <f t="shared" si="14"/>
        <v/>
      </c>
      <c r="EQ63" s="41" t="str">
        <f t="shared" si="15"/>
        <v/>
      </c>
    </row>
    <row r="64" spans="1:150" x14ac:dyDescent="0.25">
      <c r="A64" s="129" t="s">
        <v>414</v>
      </c>
      <c r="B64" s="129"/>
      <c r="C64" s="130">
        <v>58</v>
      </c>
      <c r="D64" s="177"/>
      <c r="E64" s="175" t="s">
        <v>37</v>
      </c>
      <c r="F64" s="132" t="s">
        <v>37</v>
      </c>
      <c r="G64" s="132" t="s">
        <v>37</v>
      </c>
      <c r="H64" s="132" t="s">
        <v>37</v>
      </c>
      <c r="I64" s="132" t="s">
        <v>37</v>
      </c>
      <c r="J64" s="132" t="s">
        <v>37</v>
      </c>
      <c r="K64" s="132" t="s">
        <v>37</v>
      </c>
      <c r="L64" s="132" t="s">
        <v>37</v>
      </c>
      <c r="M64" s="132" t="s">
        <v>37</v>
      </c>
      <c r="N64" s="132" t="s">
        <v>37</v>
      </c>
      <c r="O64" s="132" t="s">
        <v>37</v>
      </c>
      <c r="P64" s="132" t="s">
        <v>37</v>
      </c>
      <c r="Q64" s="176" t="s">
        <v>37</v>
      </c>
      <c r="R64" s="175" t="s">
        <v>37</v>
      </c>
      <c r="S64" s="132" t="s">
        <v>37</v>
      </c>
      <c r="T64" s="132" t="s">
        <v>37</v>
      </c>
      <c r="U64" s="132" t="s">
        <v>37</v>
      </c>
      <c r="V64" s="132" t="s">
        <v>37</v>
      </c>
      <c r="W64" s="132" t="s">
        <v>37</v>
      </c>
      <c r="X64" s="132" t="s">
        <v>37</v>
      </c>
      <c r="Y64" s="132">
        <v>1</v>
      </c>
      <c r="Z64" s="132">
        <v>1</v>
      </c>
      <c r="AA64" s="132">
        <v>1</v>
      </c>
      <c r="AB64" s="132">
        <v>1</v>
      </c>
      <c r="AC64" s="132">
        <v>1</v>
      </c>
      <c r="AD64" s="132">
        <v>1</v>
      </c>
      <c r="AE64" s="132">
        <v>1</v>
      </c>
      <c r="AF64" s="132">
        <v>1</v>
      </c>
      <c r="AG64" s="132">
        <v>1</v>
      </c>
      <c r="AH64" s="176"/>
      <c r="AI64" s="174"/>
      <c r="AJ64" s="132"/>
      <c r="AK64" s="132"/>
      <c r="AL64" s="132"/>
      <c r="AM64" s="132"/>
      <c r="AN64" s="132"/>
      <c r="AO64" s="139"/>
      <c r="AP64" s="132"/>
      <c r="AQ64" s="132"/>
      <c r="AR64" s="132"/>
      <c r="AS64" s="132"/>
      <c r="AT64" s="132"/>
      <c r="AU64" s="132"/>
      <c r="AV64" s="132"/>
      <c r="AW64" s="132"/>
      <c r="AX64" s="132"/>
      <c r="AY64" s="139"/>
      <c r="AZ64" s="132"/>
      <c r="BA64" s="132"/>
      <c r="BB64" s="132"/>
      <c r="BC64" s="132"/>
      <c r="BD64" s="132"/>
      <c r="BE64" s="132"/>
      <c r="BF64" s="132"/>
      <c r="BG64" s="132"/>
      <c r="BH64" s="132"/>
      <c r="BI64" s="132"/>
      <c r="BJ64" s="139"/>
      <c r="BK64" s="132"/>
      <c r="BL64" s="132"/>
      <c r="BM64" s="132"/>
      <c r="BN64" s="132"/>
      <c r="BO64" s="132"/>
      <c r="BP64" s="132"/>
      <c r="BQ64" s="132"/>
      <c r="BR64" s="132"/>
      <c r="BS64" s="132"/>
      <c r="BT64" s="132"/>
      <c r="BU64" s="132"/>
      <c r="BV64" s="132"/>
      <c r="BW64" s="132"/>
      <c r="BX64" s="132"/>
      <c r="BY64" s="139"/>
      <c r="BZ64" s="132"/>
      <c r="CA64" s="132"/>
      <c r="CB64" s="132"/>
      <c r="CC64" s="132"/>
      <c r="CD64" s="132"/>
      <c r="CE64" s="132"/>
      <c r="CF64" s="132"/>
      <c r="CG64" s="132"/>
      <c r="CH64" s="132"/>
      <c r="CI64" s="132"/>
      <c r="CJ64" s="139"/>
      <c r="CK64" s="132"/>
      <c r="CL64" s="132"/>
      <c r="CM64" s="132"/>
      <c r="CN64" s="132"/>
      <c r="CO64" s="132"/>
      <c r="CP64" s="132"/>
      <c r="CQ64" s="132"/>
      <c r="CR64" s="132"/>
      <c r="CS64" s="132"/>
      <c r="CT64" s="139"/>
      <c r="CU64" s="132"/>
      <c r="CV64" s="132"/>
      <c r="CW64" s="132"/>
      <c r="CX64" s="132"/>
      <c r="CY64" s="132"/>
      <c r="CZ64" s="132"/>
      <c r="DA64" s="132"/>
      <c r="DB64" s="132"/>
      <c r="DC64" s="132"/>
      <c r="DD64" s="132"/>
      <c r="DE64" s="132"/>
      <c r="DF64" s="132"/>
      <c r="DG64" s="132"/>
      <c r="DH64" s="139"/>
      <c r="DI64" s="109"/>
      <c r="DJ64" s="109"/>
      <c r="DK64" s="109"/>
      <c r="DL64" s="109"/>
      <c r="DM64" s="109"/>
      <c r="DN64" s="109"/>
      <c r="DO64" s="109"/>
      <c r="DP64" s="109"/>
      <c r="DQ64" s="109"/>
      <c r="DR64" s="109"/>
      <c r="DS64" s="109"/>
      <c r="DT64" s="109"/>
      <c r="DU64" s="109"/>
      <c r="DV64" s="139"/>
      <c r="DW64" s="109"/>
      <c r="DX64" s="109"/>
      <c r="DY64" s="109"/>
      <c r="DZ64" s="133"/>
      <c r="EA64" s="109"/>
      <c r="EB64" s="133"/>
      <c r="EC64" s="109"/>
      <c r="ED64" s="109"/>
      <c r="EE64" s="132"/>
      <c r="EF64" s="132"/>
      <c r="EG64" s="132"/>
      <c r="EH64" s="132"/>
      <c r="EI64" s="132"/>
      <c r="EJ64" s="132"/>
      <c r="EK64" s="5">
        <f t="shared" si="16"/>
        <v>9</v>
      </c>
      <c r="EL64" s="5">
        <v>1</v>
      </c>
      <c r="EM64" s="5">
        <f t="shared" si="17"/>
        <v>12</v>
      </c>
      <c r="EN64" s="153">
        <v>0</v>
      </c>
      <c r="EO64" s="7">
        <f t="shared" si="13"/>
        <v>3</v>
      </c>
      <c r="EP64" s="40" t="str">
        <f t="shared" si="14"/>
        <v/>
      </c>
      <c r="EQ64" s="41" t="str">
        <f t="shared" si="15"/>
        <v/>
      </c>
    </row>
    <row r="65" spans="1:147" x14ac:dyDescent="0.25">
      <c r="A65" s="129" t="s">
        <v>415</v>
      </c>
      <c r="B65" s="129"/>
      <c r="C65" s="130">
        <v>59</v>
      </c>
      <c r="D65" s="177"/>
      <c r="E65" s="175" t="s">
        <v>37</v>
      </c>
      <c r="F65" s="132" t="s">
        <v>37</v>
      </c>
      <c r="G65" s="132" t="s">
        <v>37</v>
      </c>
      <c r="H65" s="132" t="s">
        <v>37</v>
      </c>
      <c r="I65" s="132" t="s">
        <v>37</v>
      </c>
      <c r="J65" s="132" t="s">
        <v>37</v>
      </c>
      <c r="K65" s="132" t="s">
        <v>37</v>
      </c>
      <c r="L65" s="132" t="s">
        <v>37</v>
      </c>
      <c r="M65" s="132" t="s">
        <v>37</v>
      </c>
      <c r="N65" s="132" t="s">
        <v>37</v>
      </c>
      <c r="O65" s="132" t="s">
        <v>37</v>
      </c>
      <c r="P65" s="132" t="s">
        <v>37</v>
      </c>
      <c r="Q65" s="176" t="s">
        <v>37</v>
      </c>
      <c r="R65" s="175" t="s">
        <v>37</v>
      </c>
      <c r="S65" s="132" t="s">
        <v>37</v>
      </c>
      <c r="T65" s="132" t="s">
        <v>37</v>
      </c>
      <c r="U65" s="132" t="s">
        <v>37</v>
      </c>
      <c r="V65" s="132" t="s">
        <v>37</v>
      </c>
      <c r="W65" s="132" t="s">
        <v>37</v>
      </c>
      <c r="X65" s="132" t="s">
        <v>37</v>
      </c>
      <c r="Y65" s="132">
        <v>1</v>
      </c>
      <c r="Z65" s="132">
        <v>1</v>
      </c>
      <c r="AA65" s="132">
        <v>1</v>
      </c>
      <c r="AB65" s="132">
        <v>1</v>
      </c>
      <c r="AC65" s="132">
        <v>1</v>
      </c>
      <c r="AD65" s="132">
        <v>1</v>
      </c>
      <c r="AE65" s="132">
        <v>1</v>
      </c>
      <c r="AF65" s="132">
        <v>1</v>
      </c>
      <c r="AG65" s="132">
        <v>1</v>
      </c>
      <c r="AH65" s="176"/>
      <c r="AI65" s="174"/>
      <c r="AJ65" s="132"/>
      <c r="AK65" s="132"/>
      <c r="AL65" s="132"/>
      <c r="AM65" s="132"/>
      <c r="AN65" s="132"/>
      <c r="AO65" s="139"/>
      <c r="AP65" s="132"/>
      <c r="AQ65" s="132"/>
      <c r="AR65" s="132"/>
      <c r="AS65" s="132"/>
      <c r="AT65" s="132"/>
      <c r="AU65" s="132"/>
      <c r="AV65" s="132"/>
      <c r="AW65" s="132"/>
      <c r="AX65" s="132"/>
      <c r="AY65" s="139"/>
      <c r="AZ65" s="132"/>
      <c r="BA65" s="132"/>
      <c r="BB65" s="132"/>
      <c r="BC65" s="132"/>
      <c r="BD65" s="132"/>
      <c r="BE65" s="132"/>
      <c r="BF65" s="132"/>
      <c r="BG65" s="132"/>
      <c r="BH65" s="132"/>
      <c r="BI65" s="132"/>
      <c r="BJ65" s="139"/>
      <c r="BK65" s="132"/>
      <c r="BL65" s="132"/>
      <c r="BM65" s="132"/>
      <c r="BN65" s="132"/>
      <c r="BO65" s="132"/>
      <c r="BP65" s="132"/>
      <c r="BQ65" s="132"/>
      <c r="BR65" s="132"/>
      <c r="BS65" s="132"/>
      <c r="BT65" s="132"/>
      <c r="BU65" s="132"/>
      <c r="BV65" s="132"/>
      <c r="BW65" s="132"/>
      <c r="BX65" s="132"/>
      <c r="BY65" s="139"/>
      <c r="BZ65" s="132"/>
      <c r="CA65" s="132"/>
      <c r="CB65" s="132"/>
      <c r="CC65" s="132"/>
      <c r="CD65" s="132"/>
      <c r="CE65" s="132"/>
      <c r="CF65" s="132"/>
      <c r="CG65" s="132"/>
      <c r="CH65" s="132"/>
      <c r="CI65" s="132"/>
      <c r="CJ65" s="139"/>
      <c r="CK65" s="132"/>
      <c r="CL65" s="132"/>
      <c r="CM65" s="132"/>
      <c r="CN65" s="132"/>
      <c r="CO65" s="132"/>
      <c r="CP65" s="132"/>
      <c r="CQ65" s="132"/>
      <c r="CR65" s="132"/>
      <c r="CS65" s="132"/>
      <c r="CT65" s="139"/>
      <c r="CU65" s="132"/>
      <c r="CV65" s="132"/>
      <c r="CW65" s="132"/>
      <c r="CX65" s="132"/>
      <c r="CY65" s="132"/>
      <c r="CZ65" s="132"/>
      <c r="DA65" s="132"/>
      <c r="DB65" s="132"/>
      <c r="DC65" s="132"/>
      <c r="DD65" s="132"/>
      <c r="DE65" s="132"/>
      <c r="DF65" s="132"/>
      <c r="DG65" s="132"/>
      <c r="DH65" s="139"/>
      <c r="DI65" s="109"/>
      <c r="DJ65" s="109"/>
      <c r="DK65" s="109"/>
      <c r="DL65" s="109"/>
      <c r="DM65" s="109"/>
      <c r="DN65" s="109"/>
      <c r="DO65" s="109"/>
      <c r="DP65" s="109"/>
      <c r="DQ65" s="109"/>
      <c r="DR65" s="109"/>
      <c r="DS65" s="109"/>
      <c r="DT65" s="109"/>
      <c r="DU65" s="109"/>
      <c r="DV65" s="139"/>
      <c r="DW65" s="109"/>
      <c r="DX65" s="109"/>
      <c r="DY65" s="109"/>
      <c r="DZ65" s="133"/>
      <c r="EA65" s="109"/>
      <c r="EB65" s="133"/>
      <c r="EC65" s="109"/>
      <c r="ED65" s="109"/>
      <c r="EE65" s="132"/>
      <c r="EF65" s="132"/>
      <c r="EG65" s="132"/>
      <c r="EH65" s="132"/>
      <c r="EI65" s="132"/>
      <c r="EJ65" s="132"/>
      <c r="EK65" s="5">
        <f t="shared" si="16"/>
        <v>9</v>
      </c>
      <c r="EL65" s="5">
        <v>1</v>
      </c>
      <c r="EM65" s="5">
        <f t="shared" si="17"/>
        <v>12</v>
      </c>
      <c r="EN65" s="153">
        <v>0</v>
      </c>
      <c r="EO65" s="7">
        <f t="shared" si="13"/>
        <v>3</v>
      </c>
      <c r="EP65" s="40" t="str">
        <f t="shared" si="14"/>
        <v/>
      </c>
      <c r="EQ65" s="41" t="str">
        <f t="shared" si="15"/>
        <v/>
      </c>
    </row>
    <row r="66" spans="1:147" x14ac:dyDescent="0.25">
      <c r="A66" s="129" t="s">
        <v>416</v>
      </c>
      <c r="B66" s="129"/>
      <c r="C66" s="130">
        <v>60</v>
      </c>
      <c r="D66" s="177"/>
      <c r="E66" s="175" t="s">
        <v>37</v>
      </c>
      <c r="F66" s="175" t="s">
        <v>37</v>
      </c>
      <c r="G66" s="175" t="s">
        <v>37</v>
      </c>
      <c r="H66" s="175" t="s">
        <v>37</v>
      </c>
      <c r="I66" s="175" t="s">
        <v>37</v>
      </c>
      <c r="J66" s="175" t="s">
        <v>37</v>
      </c>
      <c r="K66" s="175" t="s">
        <v>37</v>
      </c>
      <c r="L66" s="175" t="s">
        <v>37</v>
      </c>
      <c r="M66" s="175" t="s">
        <v>37</v>
      </c>
      <c r="N66" s="175" t="s">
        <v>37</v>
      </c>
      <c r="O66" s="175" t="s">
        <v>37</v>
      </c>
      <c r="P66" s="175" t="s">
        <v>37</v>
      </c>
      <c r="Q66" s="175" t="s">
        <v>37</v>
      </c>
      <c r="R66" s="175" t="s">
        <v>37</v>
      </c>
      <c r="S66" s="175" t="s">
        <v>37</v>
      </c>
      <c r="T66" s="175" t="s">
        <v>37</v>
      </c>
      <c r="U66" s="175" t="s">
        <v>37</v>
      </c>
      <c r="V66" s="175" t="s">
        <v>37</v>
      </c>
      <c r="W66" s="175" t="s">
        <v>37</v>
      </c>
      <c r="X66" s="175" t="s">
        <v>37</v>
      </c>
      <c r="Y66" s="175" t="s">
        <v>37</v>
      </c>
      <c r="Z66" s="175" t="s">
        <v>37</v>
      </c>
      <c r="AA66" s="132">
        <v>1</v>
      </c>
      <c r="AB66" s="132">
        <v>1</v>
      </c>
      <c r="AC66" s="132">
        <v>1</v>
      </c>
      <c r="AD66" s="132"/>
      <c r="AE66" s="132"/>
      <c r="AF66" s="132">
        <v>1</v>
      </c>
      <c r="AG66" s="132"/>
      <c r="AH66" s="176"/>
      <c r="AI66" s="174"/>
      <c r="AJ66" s="132"/>
      <c r="AK66" s="132"/>
      <c r="AL66" s="132"/>
      <c r="AM66" s="132"/>
      <c r="AN66" s="132"/>
      <c r="AO66" s="139"/>
      <c r="AP66" s="132"/>
      <c r="AQ66" s="132"/>
      <c r="AR66" s="132"/>
      <c r="AS66" s="132"/>
      <c r="AT66" s="132"/>
      <c r="AU66" s="132"/>
      <c r="AV66" s="132"/>
      <c r="AW66" s="132"/>
      <c r="AX66" s="132"/>
      <c r="AY66" s="139"/>
      <c r="AZ66" s="132"/>
      <c r="BA66" s="132"/>
      <c r="BB66" s="132"/>
      <c r="BC66" s="132"/>
      <c r="BD66" s="132"/>
      <c r="BE66" s="132"/>
      <c r="BF66" s="132"/>
      <c r="BG66" s="132"/>
      <c r="BH66" s="132"/>
      <c r="BI66" s="132"/>
      <c r="BJ66" s="139"/>
      <c r="BK66" s="132"/>
      <c r="BL66" s="132"/>
      <c r="BM66" s="132"/>
      <c r="BN66" s="132"/>
      <c r="BO66" s="132"/>
      <c r="BP66" s="132"/>
      <c r="BQ66" s="132"/>
      <c r="BR66" s="132"/>
      <c r="BS66" s="132"/>
      <c r="BT66" s="132"/>
      <c r="BU66" s="132"/>
      <c r="BV66" s="132"/>
      <c r="BW66" s="132"/>
      <c r="BX66" s="132"/>
      <c r="BY66" s="139"/>
      <c r="BZ66" s="132"/>
      <c r="CA66" s="132"/>
      <c r="CB66" s="132"/>
      <c r="CC66" s="132"/>
      <c r="CD66" s="132"/>
      <c r="CE66" s="132"/>
      <c r="CF66" s="132"/>
      <c r="CG66" s="132"/>
      <c r="CH66" s="132"/>
      <c r="CI66" s="132"/>
      <c r="CJ66" s="139"/>
      <c r="CK66" s="132"/>
      <c r="CL66" s="132"/>
      <c r="CM66" s="132"/>
      <c r="CN66" s="132"/>
      <c r="CO66" s="132"/>
      <c r="CP66" s="132"/>
      <c r="CQ66" s="132"/>
      <c r="CR66" s="132"/>
      <c r="CS66" s="132"/>
      <c r="CT66" s="139"/>
      <c r="CU66" s="132"/>
      <c r="CV66" s="132"/>
      <c r="CW66" s="132"/>
      <c r="CX66" s="132"/>
      <c r="CY66" s="132"/>
      <c r="CZ66" s="132"/>
      <c r="DA66" s="132"/>
      <c r="DB66" s="132"/>
      <c r="DC66" s="132"/>
      <c r="DD66" s="132"/>
      <c r="DE66" s="132"/>
      <c r="DF66" s="132"/>
      <c r="DG66" s="132"/>
      <c r="DH66" s="139"/>
      <c r="DI66" s="109"/>
      <c r="DJ66" s="109"/>
      <c r="DK66" s="109"/>
      <c r="DL66" s="109"/>
      <c r="DM66" s="109"/>
      <c r="DN66" s="109"/>
      <c r="DO66" s="109"/>
      <c r="DP66" s="109"/>
      <c r="DQ66" s="109"/>
      <c r="DR66" s="109"/>
      <c r="DS66" s="109"/>
      <c r="DT66" s="109"/>
      <c r="DU66" s="109"/>
      <c r="DV66" s="139"/>
      <c r="DW66" s="109"/>
      <c r="DX66" s="109"/>
      <c r="DY66" s="109"/>
      <c r="DZ66" s="133"/>
      <c r="EA66" s="109"/>
      <c r="EB66" s="133"/>
      <c r="EC66" s="109"/>
      <c r="ED66" s="109"/>
      <c r="EE66" s="132"/>
      <c r="EF66" s="132"/>
      <c r="EG66" s="132"/>
      <c r="EH66" s="132"/>
      <c r="EI66" s="132"/>
      <c r="EJ66" s="132"/>
      <c r="EK66" s="5">
        <f t="shared" si="16"/>
        <v>4</v>
      </c>
      <c r="EL66" s="5">
        <v>1</v>
      </c>
      <c r="EM66" s="5">
        <f t="shared" si="17"/>
        <v>12</v>
      </c>
      <c r="EN66" s="153">
        <v>0</v>
      </c>
      <c r="EO66" s="7">
        <f t="shared" si="13"/>
        <v>8</v>
      </c>
      <c r="EP66" s="40" t="str">
        <f t="shared" si="14"/>
        <v/>
      </c>
      <c r="EQ66" s="41" t="str">
        <f t="shared" si="15"/>
        <v/>
      </c>
    </row>
    <row r="67" spans="1:147" x14ac:dyDescent="0.25">
      <c r="A67" s="129" t="s">
        <v>417</v>
      </c>
      <c r="B67" s="129"/>
      <c r="C67" s="130">
        <v>61</v>
      </c>
      <c r="D67" s="177"/>
      <c r="E67" s="175" t="s">
        <v>37</v>
      </c>
      <c r="F67" s="175" t="s">
        <v>37</v>
      </c>
      <c r="G67" s="175" t="s">
        <v>37</v>
      </c>
      <c r="H67" s="175" t="s">
        <v>37</v>
      </c>
      <c r="I67" s="175" t="s">
        <v>37</v>
      </c>
      <c r="J67" s="175" t="s">
        <v>37</v>
      </c>
      <c r="K67" s="175" t="s">
        <v>37</v>
      </c>
      <c r="L67" s="175" t="s">
        <v>37</v>
      </c>
      <c r="M67" s="175" t="s">
        <v>37</v>
      </c>
      <c r="N67" s="175" t="s">
        <v>37</v>
      </c>
      <c r="O67" s="175" t="s">
        <v>37</v>
      </c>
      <c r="P67" s="175" t="s">
        <v>37</v>
      </c>
      <c r="Q67" s="175" t="s">
        <v>37</v>
      </c>
      <c r="R67" s="175" t="s">
        <v>37</v>
      </c>
      <c r="S67" s="175" t="s">
        <v>37</v>
      </c>
      <c r="T67" s="175" t="s">
        <v>37</v>
      </c>
      <c r="U67" s="175" t="s">
        <v>37</v>
      </c>
      <c r="V67" s="175" t="s">
        <v>37</v>
      </c>
      <c r="W67" s="175" t="s">
        <v>37</v>
      </c>
      <c r="X67" s="175" t="s">
        <v>37</v>
      </c>
      <c r="Y67" s="175" t="s">
        <v>37</v>
      </c>
      <c r="Z67" s="175" t="s">
        <v>37</v>
      </c>
      <c r="AA67" s="175" t="s">
        <v>37</v>
      </c>
      <c r="AB67" s="132">
        <v>1</v>
      </c>
      <c r="AC67" s="132"/>
      <c r="AD67" s="132">
        <v>1</v>
      </c>
      <c r="AE67" s="132">
        <v>1</v>
      </c>
      <c r="AF67" s="132"/>
      <c r="AG67" s="132"/>
      <c r="AH67" s="176"/>
      <c r="AI67" s="174"/>
      <c r="AJ67" s="132"/>
      <c r="AK67" s="132"/>
      <c r="AL67" s="132"/>
      <c r="AM67" s="132"/>
      <c r="AN67" s="132"/>
      <c r="AO67" s="139"/>
      <c r="AP67" s="132"/>
      <c r="AQ67" s="132"/>
      <c r="AR67" s="132"/>
      <c r="AS67" s="132"/>
      <c r="AT67" s="132"/>
      <c r="AU67" s="132"/>
      <c r="AV67" s="132"/>
      <c r="AW67" s="132"/>
      <c r="AX67" s="132"/>
      <c r="AY67" s="139"/>
      <c r="AZ67" s="132"/>
      <c r="BA67" s="132"/>
      <c r="BB67" s="132"/>
      <c r="BC67" s="132"/>
      <c r="BD67" s="132"/>
      <c r="BE67" s="132"/>
      <c r="BF67" s="132"/>
      <c r="BG67" s="132"/>
      <c r="BH67" s="132"/>
      <c r="BI67" s="132"/>
      <c r="BJ67" s="139"/>
      <c r="BK67" s="132"/>
      <c r="BL67" s="132"/>
      <c r="BM67" s="132"/>
      <c r="BN67" s="132"/>
      <c r="BO67" s="132"/>
      <c r="BP67" s="132"/>
      <c r="BQ67" s="132"/>
      <c r="BR67" s="132"/>
      <c r="BS67" s="132"/>
      <c r="BT67" s="132"/>
      <c r="BU67" s="132"/>
      <c r="BV67" s="132"/>
      <c r="BW67" s="132"/>
      <c r="BX67" s="132"/>
      <c r="BY67" s="139"/>
      <c r="BZ67" s="132"/>
      <c r="CA67" s="132"/>
      <c r="CB67" s="132"/>
      <c r="CC67" s="132"/>
      <c r="CD67" s="132"/>
      <c r="CE67" s="132"/>
      <c r="CF67" s="132"/>
      <c r="CG67" s="132"/>
      <c r="CH67" s="132"/>
      <c r="CI67" s="132"/>
      <c r="CJ67" s="139"/>
      <c r="CK67" s="132"/>
      <c r="CL67" s="132"/>
      <c r="CM67" s="132"/>
      <c r="CN67" s="132"/>
      <c r="CO67" s="132"/>
      <c r="CP67" s="132"/>
      <c r="CQ67" s="132"/>
      <c r="CR67" s="132"/>
      <c r="CS67" s="132"/>
      <c r="CT67" s="139"/>
      <c r="CU67" s="132"/>
      <c r="CV67" s="132"/>
      <c r="CW67" s="132"/>
      <c r="CX67" s="132"/>
      <c r="CY67" s="132"/>
      <c r="CZ67" s="132"/>
      <c r="DA67" s="132"/>
      <c r="DB67" s="132"/>
      <c r="DC67" s="132"/>
      <c r="DD67" s="132"/>
      <c r="DE67" s="132"/>
      <c r="DF67" s="132"/>
      <c r="DG67" s="132"/>
      <c r="DH67" s="139"/>
      <c r="DI67" s="109"/>
      <c r="DJ67" s="109"/>
      <c r="DK67" s="109"/>
      <c r="DL67" s="109"/>
      <c r="DM67" s="109"/>
      <c r="DN67" s="109"/>
      <c r="DO67" s="109"/>
      <c r="DP67" s="109"/>
      <c r="DQ67" s="109"/>
      <c r="DR67" s="109"/>
      <c r="DS67" s="109"/>
      <c r="DT67" s="109"/>
      <c r="DU67" s="109"/>
      <c r="DV67" s="139"/>
      <c r="DW67" s="109"/>
      <c r="DX67" s="109"/>
      <c r="DY67" s="109"/>
      <c r="DZ67" s="133"/>
      <c r="EA67" s="109"/>
      <c r="EB67" s="133"/>
      <c r="EC67" s="109"/>
      <c r="ED67" s="109"/>
      <c r="EE67" s="132"/>
      <c r="EF67" s="132"/>
      <c r="EG67" s="132"/>
      <c r="EH67" s="132"/>
      <c r="EI67" s="132"/>
      <c r="EJ67" s="132"/>
      <c r="EK67" s="5">
        <f t="shared" si="16"/>
        <v>3</v>
      </c>
      <c r="EL67" s="5">
        <v>1</v>
      </c>
      <c r="EM67" s="5">
        <f t="shared" si="17"/>
        <v>12</v>
      </c>
      <c r="EN67" s="153">
        <v>0</v>
      </c>
      <c r="EO67" s="7">
        <f t="shared" si="13"/>
        <v>9</v>
      </c>
      <c r="EP67" s="40" t="str">
        <f t="shared" si="14"/>
        <v/>
      </c>
      <c r="EQ67" s="41" t="str">
        <f t="shared" si="15"/>
        <v/>
      </c>
    </row>
    <row r="68" spans="1:147" x14ac:dyDescent="0.25">
      <c r="A68" s="129" t="s">
        <v>419</v>
      </c>
      <c r="B68" s="129"/>
      <c r="C68" s="130">
        <v>62</v>
      </c>
      <c r="D68" s="177"/>
      <c r="E68" s="175" t="s">
        <v>37</v>
      </c>
      <c r="F68" s="175" t="s">
        <v>37</v>
      </c>
      <c r="G68" s="175" t="s">
        <v>37</v>
      </c>
      <c r="H68" s="175" t="s">
        <v>37</v>
      </c>
      <c r="I68" s="175" t="s">
        <v>37</v>
      </c>
      <c r="J68" s="175" t="s">
        <v>37</v>
      </c>
      <c r="K68" s="175" t="s">
        <v>37</v>
      </c>
      <c r="L68" s="175" t="s">
        <v>37</v>
      </c>
      <c r="M68" s="175" t="s">
        <v>37</v>
      </c>
      <c r="N68" s="175" t="s">
        <v>37</v>
      </c>
      <c r="O68" s="175" t="s">
        <v>37</v>
      </c>
      <c r="P68" s="175" t="s">
        <v>37</v>
      </c>
      <c r="Q68" s="175" t="s">
        <v>37</v>
      </c>
      <c r="R68" s="175" t="s">
        <v>37</v>
      </c>
      <c r="S68" s="175" t="s">
        <v>37</v>
      </c>
      <c r="T68" s="175" t="s">
        <v>37</v>
      </c>
      <c r="U68" s="175" t="s">
        <v>37</v>
      </c>
      <c r="V68" s="175" t="s">
        <v>37</v>
      </c>
      <c r="W68" s="175" t="s">
        <v>37</v>
      </c>
      <c r="X68" s="175" t="s">
        <v>37</v>
      </c>
      <c r="Y68" s="175" t="s">
        <v>37</v>
      </c>
      <c r="Z68" s="175" t="s">
        <v>37</v>
      </c>
      <c r="AA68" s="132">
        <v>1</v>
      </c>
      <c r="AB68" s="132"/>
      <c r="AC68" s="132">
        <v>1</v>
      </c>
      <c r="AD68" s="132">
        <v>1</v>
      </c>
      <c r="AE68" s="132"/>
      <c r="AF68" s="132"/>
      <c r="AG68" s="132"/>
      <c r="AH68" s="176"/>
      <c r="AI68" s="174"/>
      <c r="AJ68" s="132"/>
      <c r="AK68" s="132"/>
      <c r="AL68" s="132"/>
      <c r="AM68" s="132"/>
      <c r="AN68" s="132"/>
      <c r="AO68" s="139"/>
      <c r="AP68" s="132"/>
      <c r="AQ68" s="132"/>
      <c r="AR68" s="132"/>
      <c r="AS68" s="132"/>
      <c r="AT68" s="132"/>
      <c r="AU68" s="132"/>
      <c r="AV68" s="132"/>
      <c r="AW68" s="132"/>
      <c r="AX68" s="132"/>
      <c r="AY68" s="139"/>
      <c r="AZ68" s="132"/>
      <c r="BA68" s="132"/>
      <c r="BB68" s="132"/>
      <c r="BC68" s="132"/>
      <c r="BD68" s="132"/>
      <c r="BE68" s="132"/>
      <c r="BF68" s="132"/>
      <c r="BG68" s="132"/>
      <c r="BH68" s="132"/>
      <c r="BI68" s="132"/>
      <c r="BJ68" s="139"/>
      <c r="BK68" s="132"/>
      <c r="BL68" s="132"/>
      <c r="BM68" s="132"/>
      <c r="BN68" s="132"/>
      <c r="BO68" s="132"/>
      <c r="BP68" s="132"/>
      <c r="BQ68" s="132"/>
      <c r="BR68" s="132"/>
      <c r="BS68" s="132"/>
      <c r="BT68" s="132"/>
      <c r="BU68" s="132"/>
      <c r="BV68" s="132"/>
      <c r="BW68" s="132"/>
      <c r="BX68" s="132"/>
      <c r="BY68" s="139"/>
      <c r="BZ68" s="132"/>
      <c r="CA68" s="132"/>
      <c r="CB68" s="132"/>
      <c r="CC68" s="132"/>
      <c r="CD68" s="132"/>
      <c r="CE68" s="132"/>
      <c r="CF68" s="132"/>
      <c r="CG68" s="132"/>
      <c r="CH68" s="132"/>
      <c r="CI68" s="132"/>
      <c r="CJ68" s="139"/>
      <c r="CK68" s="132"/>
      <c r="CL68" s="132"/>
      <c r="CM68" s="132"/>
      <c r="CN68" s="132"/>
      <c r="CO68" s="132"/>
      <c r="CP68" s="132"/>
      <c r="CQ68" s="132"/>
      <c r="CR68" s="132"/>
      <c r="CS68" s="132"/>
      <c r="CT68" s="139"/>
      <c r="CU68" s="132"/>
      <c r="CV68" s="132"/>
      <c r="CW68" s="132"/>
      <c r="CX68" s="132"/>
      <c r="CY68" s="132"/>
      <c r="CZ68" s="132"/>
      <c r="DA68" s="132"/>
      <c r="DB68" s="132"/>
      <c r="DC68" s="132"/>
      <c r="DD68" s="132"/>
      <c r="DE68" s="132"/>
      <c r="DF68" s="132"/>
      <c r="DG68" s="132"/>
      <c r="DH68" s="139"/>
      <c r="DI68" s="109"/>
      <c r="DJ68" s="109"/>
      <c r="DK68" s="109"/>
      <c r="DL68" s="109"/>
      <c r="DM68" s="109"/>
      <c r="DN68" s="109"/>
      <c r="DO68" s="109"/>
      <c r="DP68" s="109"/>
      <c r="DQ68" s="109"/>
      <c r="DR68" s="109"/>
      <c r="DS68" s="109"/>
      <c r="DT68" s="109"/>
      <c r="DU68" s="109"/>
      <c r="DV68" s="139"/>
      <c r="DW68" s="109"/>
      <c r="DX68" s="109"/>
      <c r="DY68" s="109"/>
      <c r="DZ68" s="133"/>
      <c r="EA68" s="109"/>
      <c r="EB68" s="133"/>
      <c r="EC68" s="109"/>
      <c r="ED68" s="109"/>
      <c r="EE68" s="132"/>
      <c r="EF68" s="132"/>
      <c r="EG68" s="132"/>
      <c r="EH68" s="132"/>
      <c r="EI68" s="132"/>
      <c r="EJ68" s="132"/>
      <c r="EK68" s="5">
        <f t="shared" si="16"/>
        <v>3</v>
      </c>
      <c r="EL68" s="5">
        <v>1</v>
      </c>
      <c r="EM68" s="5">
        <f t="shared" si="17"/>
        <v>12</v>
      </c>
      <c r="EN68" s="153">
        <v>0</v>
      </c>
      <c r="EO68" s="7">
        <f t="shared" si="13"/>
        <v>9</v>
      </c>
      <c r="EP68" s="40" t="str">
        <f t="shared" si="14"/>
        <v/>
      </c>
      <c r="EQ68" s="41" t="str">
        <f t="shared" si="15"/>
        <v/>
      </c>
    </row>
    <row r="69" spans="1:147" x14ac:dyDescent="0.25">
      <c r="A69" s="129" t="s">
        <v>420</v>
      </c>
      <c r="B69" s="129"/>
      <c r="C69" s="130">
        <v>63</v>
      </c>
      <c r="D69" s="177"/>
      <c r="E69" s="175" t="s">
        <v>37</v>
      </c>
      <c r="F69" s="175" t="s">
        <v>37</v>
      </c>
      <c r="G69" s="175" t="s">
        <v>37</v>
      </c>
      <c r="H69" s="175" t="s">
        <v>37</v>
      </c>
      <c r="I69" s="175" t="s">
        <v>37</v>
      </c>
      <c r="J69" s="175" t="s">
        <v>37</v>
      </c>
      <c r="K69" s="175" t="s">
        <v>37</v>
      </c>
      <c r="L69" s="175" t="s">
        <v>37</v>
      </c>
      <c r="M69" s="175" t="s">
        <v>37</v>
      </c>
      <c r="N69" s="175" t="s">
        <v>37</v>
      </c>
      <c r="O69" s="175" t="s">
        <v>37</v>
      </c>
      <c r="P69" s="175" t="s">
        <v>37</v>
      </c>
      <c r="Q69" s="175" t="s">
        <v>37</v>
      </c>
      <c r="R69" s="175" t="s">
        <v>37</v>
      </c>
      <c r="S69" s="175" t="s">
        <v>37</v>
      </c>
      <c r="T69" s="175" t="s">
        <v>37</v>
      </c>
      <c r="U69" s="175" t="s">
        <v>37</v>
      </c>
      <c r="V69" s="175" t="s">
        <v>37</v>
      </c>
      <c r="W69" s="175" t="s">
        <v>37</v>
      </c>
      <c r="X69" s="175" t="s">
        <v>37</v>
      </c>
      <c r="Y69" s="175" t="s">
        <v>37</v>
      </c>
      <c r="Z69" s="175" t="s">
        <v>37</v>
      </c>
      <c r="AA69" s="132">
        <v>1</v>
      </c>
      <c r="AB69" s="132">
        <v>1</v>
      </c>
      <c r="AC69" s="132"/>
      <c r="AD69" s="132">
        <v>1</v>
      </c>
      <c r="AE69" s="132"/>
      <c r="AF69" s="132"/>
      <c r="AG69" s="132"/>
      <c r="AH69" s="176"/>
      <c r="AI69" s="174"/>
      <c r="AJ69" s="132"/>
      <c r="AK69" s="132"/>
      <c r="AL69" s="132"/>
      <c r="AM69" s="132"/>
      <c r="AN69" s="132"/>
      <c r="AO69" s="139"/>
      <c r="AP69" s="132"/>
      <c r="AQ69" s="132"/>
      <c r="AR69" s="132"/>
      <c r="AS69" s="132"/>
      <c r="AT69" s="132"/>
      <c r="AU69" s="132"/>
      <c r="AV69" s="132"/>
      <c r="AW69" s="132"/>
      <c r="AX69" s="132"/>
      <c r="AY69" s="139"/>
      <c r="AZ69" s="132"/>
      <c r="BA69" s="132"/>
      <c r="BB69" s="132"/>
      <c r="BC69" s="132"/>
      <c r="BD69" s="132"/>
      <c r="BE69" s="132"/>
      <c r="BF69" s="132"/>
      <c r="BG69" s="132"/>
      <c r="BH69" s="132"/>
      <c r="BI69" s="132"/>
      <c r="BJ69" s="139"/>
      <c r="BK69" s="132"/>
      <c r="BL69" s="132"/>
      <c r="BM69" s="132"/>
      <c r="BN69" s="132"/>
      <c r="BO69" s="132"/>
      <c r="BP69" s="132"/>
      <c r="BQ69" s="132"/>
      <c r="BR69" s="132"/>
      <c r="BS69" s="132"/>
      <c r="BT69" s="132"/>
      <c r="BU69" s="132"/>
      <c r="BV69" s="132"/>
      <c r="BW69" s="132"/>
      <c r="BX69" s="132"/>
      <c r="BY69" s="139"/>
      <c r="BZ69" s="132"/>
      <c r="CA69" s="132"/>
      <c r="CB69" s="132"/>
      <c r="CC69" s="132"/>
      <c r="CD69" s="132"/>
      <c r="CE69" s="132"/>
      <c r="CF69" s="132"/>
      <c r="CG69" s="132"/>
      <c r="CH69" s="132"/>
      <c r="CI69" s="132"/>
      <c r="CJ69" s="139"/>
      <c r="CK69" s="132"/>
      <c r="CL69" s="132"/>
      <c r="CM69" s="132"/>
      <c r="CN69" s="132"/>
      <c r="CO69" s="132"/>
      <c r="CP69" s="132"/>
      <c r="CQ69" s="132"/>
      <c r="CR69" s="132"/>
      <c r="CS69" s="132"/>
      <c r="CT69" s="139"/>
      <c r="CU69" s="132"/>
      <c r="CV69" s="132"/>
      <c r="CW69" s="132"/>
      <c r="CX69" s="132"/>
      <c r="CY69" s="132"/>
      <c r="CZ69" s="132"/>
      <c r="DA69" s="132"/>
      <c r="DB69" s="132"/>
      <c r="DC69" s="132"/>
      <c r="DD69" s="132"/>
      <c r="DE69" s="132"/>
      <c r="DF69" s="132"/>
      <c r="DG69" s="132"/>
      <c r="DH69" s="139"/>
      <c r="DI69" s="109"/>
      <c r="DJ69" s="109"/>
      <c r="DK69" s="109"/>
      <c r="DL69" s="109"/>
      <c r="DM69" s="109"/>
      <c r="DN69" s="109"/>
      <c r="DO69" s="109"/>
      <c r="DP69" s="109"/>
      <c r="DQ69" s="109"/>
      <c r="DR69" s="109"/>
      <c r="DS69" s="109"/>
      <c r="DT69" s="109"/>
      <c r="DU69" s="109"/>
      <c r="DV69" s="139"/>
      <c r="DW69" s="109"/>
      <c r="DX69" s="109"/>
      <c r="DY69" s="109"/>
      <c r="DZ69" s="133"/>
      <c r="EA69" s="109"/>
      <c r="EB69" s="133"/>
      <c r="EC69" s="109"/>
      <c r="ED69" s="109"/>
      <c r="EE69" s="132"/>
      <c r="EF69" s="132"/>
      <c r="EG69" s="132"/>
      <c r="EH69" s="132"/>
      <c r="EI69" s="132"/>
      <c r="EJ69" s="132"/>
      <c r="EK69" s="5">
        <f t="shared" si="16"/>
        <v>3</v>
      </c>
      <c r="EL69" s="5">
        <v>1</v>
      </c>
      <c r="EM69" s="5">
        <f t="shared" si="17"/>
        <v>12</v>
      </c>
      <c r="EN69" s="153">
        <v>0</v>
      </c>
      <c r="EO69" s="7">
        <f t="shared" si="13"/>
        <v>9</v>
      </c>
      <c r="EP69" s="40" t="str">
        <f t="shared" si="14"/>
        <v/>
      </c>
      <c r="EQ69" s="41" t="str">
        <f t="shared" si="15"/>
        <v/>
      </c>
    </row>
    <row r="70" spans="1:147" x14ac:dyDescent="0.25">
      <c r="A70" s="129" t="s">
        <v>432</v>
      </c>
      <c r="B70" s="129"/>
      <c r="C70" s="130">
        <v>64</v>
      </c>
      <c r="D70" s="177"/>
      <c r="E70" s="175" t="s">
        <v>37</v>
      </c>
      <c r="F70" s="175" t="s">
        <v>37</v>
      </c>
      <c r="G70" s="175" t="s">
        <v>37</v>
      </c>
      <c r="H70" s="175" t="s">
        <v>37</v>
      </c>
      <c r="I70" s="175" t="s">
        <v>37</v>
      </c>
      <c r="J70" s="175" t="s">
        <v>37</v>
      </c>
      <c r="K70" s="175" t="s">
        <v>37</v>
      </c>
      <c r="L70" s="175" t="s">
        <v>37</v>
      </c>
      <c r="M70" s="175" t="s">
        <v>37</v>
      </c>
      <c r="N70" s="175" t="s">
        <v>37</v>
      </c>
      <c r="O70" s="175" t="s">
        <v>37</v>
      </c>
      <c r="P70" s="175" t="s">
        <v>37</v>
      </c>
      <c r="Q70" s="175" t="s">
        <v>37</v>
      </c>
      <c r="R70" s="175" t="s">
        <v>37</v>
      </c>
      <c r="S70" s="175" t="s">
        <v>37</v>
      </c>
      <c r="T70" s="175" t="s">
        <v>37</v>
      </c>
      <c r="U70" s="175" t="s">
        <v>37</v>
      </c>
      <c r="V70" s="175" t="s">
        <v>37</v>
      </c>
      <c r="W70" s="175" t="s">
        <v>37</v>
      </c>
      <c r="X70" s="175" t="s">
        <v>37</v>
      </c>
      <c r="Y70" s="175" t="s">
        <v>37</v>
      </c>
      <c r="Z70" s="175" t="s">
        <v>37</v>
      </c>
      <c r="AA70" s="132">
        <v>1</v>
      </c>
      <c r="AB70" s="132">
        <v>1</v>
      </c>
      <c r="AC70" s="132">
        <v>1</v>
      </c>
      <c r="AD70" s="132">
        <v>1</v>
      </c>
      <c r="AE70" s="132">
        <v>1</v>
      </c>
      <c r="AF70" s="132"/>
      <c r="AG70" s="132">
        <v>1</v>
      </c>
      <c r="AH70" s="176"/>
      <c r="AI70" s="174"/>
      <c r="AJ70" s="132"/>
      <c r="AK70" s="132"/>
      <c r="AL70" s="132"/>
      <c r="AM70" s="132"/>
      <c r="AN70" s="132"/>
      <c r="AO70" s="139"/>
      <c r="AP70" s="132"/>
      <c r="AQ70" s="132"/>
      <c r="AR70" s="132"/>
      <c r="AS70" s="132"/>
      <c r="AT70" s="132"/>
      <c r="AU70" s="132"/>
      <c r="AV70" s="132"/>
      <c r="AW70" s="132"/>
      <c r="AX70" s="132"/>
      <c r="AY70" s="139"/>
      <c r="AZ70" s="132"/>
      <c r="BA70" s="132"/>
      <c r="BB70" s="132"/>
      <c r="BC70" s="132"/>
      <c r="BD70" s="132"/>
      <c r="BE70" s="132"/>
      <c r="BF70" s="132"/>
      <c r="BG70" s="132"/>
      <c r="BH70" s="132"/>
      <c r="BI70" s="132"/>
      <c r="BJ70" s="139"/>
      <c r="BK70" s="132"/>
      <c r="BL70" s="132"/>
      <c r="BM70" s="132"/>
      <c r="BN70" s="132"/>
      <c r="BO70" s="132"/>
      <c r="BP70" s="132"/>
      <c r="BQ70" s="132"/>
      <c r="BR70" s="132"/>
      <c r="BS70" s="132"/>
      <c r="BT70" s="132"/>
      <c r="BU70" s="132"/>
      <c r="BV70" s="132"/>
      <c r="BW70" s="132"/>
      <c r="BX70" s="132"/>
      <c r="BY70" s="139"/>
      <c r="BZ70" s="132"/>
      <c r="CA70" s="132"/>
      <c r="CB70" s="132"/>
      <c r="CC70" s="132"/>
      <c r="CD70" s="132"/>
      <c r="CE70" s="132"/>
      <c r="CF70" s="132"/>
      <c r="CG70" s="132"/>
      <c r="CH70" s="132"/>
      <c r="CI70" s="132"/>
      <c r="CJ70" s="139"/>
      <c r="CK70" s="132"/>
      <c r="CL70" s="132"/>
      <c r="CM70" s="132"/>
      <c r="CN70" s="132"/>
      <c r="CO70" s="132"/>
      <c r="CP70" s="132"/>
      <c r="CQ70" s="132"/>
      <c r="CR70" s="132"/>
      <c r="CS70" s="132"/>
      <c r="CT70" s="139"/>
      <c r="CU70" s="132"/>
      <c r="CV70" s="132"/>
      <c r="CW70" s="132"/>
      <c r="CX70" s="132"/>
      <c r="CY70" s="132"/>
      <c r="CZ70" s="132"/>
      <c r="DA70" s="132"/>
      <c r="DB70" s="132"/>
      <c r="DC70" s="132"/>
      <c r="DD70" s="132"/>
      <c r="DE70" s="132"/>
      <c r="DF70" s="132"/>
      <c r="DG70" s="132"/>
      <c r="DH70" s="139"/>
      <c r="DI70" s="109"/>
      <c r="DJ70" s="109"/>
      <c r="DK70" s="109"/>
      <c r="DL70" s="109"/>
      <c r="DM70" s="109"/>
      <c r="DN70" s="109"/>
      <c r="DO70" s="109"/>
      <c r="DP70" s="109"/>
      <c r="DQ70" s="109"/>
      <c r="DR70" s="109"/>
      <c r="DS70" s="109"/>
      <c r="DT70" s="109"/>
      <c r="DU70" s="109"/>
      <c r="DV70" s="139"/>
      <c r="DW70" s="109"/>
      <c r="DX70" s="109"/>
      <c r="DY70" s="109"/>
      <c r="DZ70" s="133"/>
      <c r="EA70" s="109"/>
      <c r="EB70" s="133"/>
      <c r="EC70" s="109"/>
      <c r="ED70" s="109"/>
      <c r="EE70" s="132"/>
      <c r="EF70" s="132"/>
      <c r="EG70" s="132"/>
      <c r="EH70" s="132"/>
      <c r="EI70" s="132"/>
      <c r="EJ70" s="132"/>
      <c r="EK70" s="5">
        <f t="shared" ref="EK70:EK71" si="18">SUM(E70:EJ70)</f>
        <v>6</v>
      </c>
      <c r="EL70" s="5">
        <v>1</v>
      </c>
      <c r="EM70" s="5">
        <f t="shared" ref="EM70:EM71" si="19">EL70*12</f>
        <v>12</v>
      </c>
      <c r="EN70" s="153">
        <v>0</v>
      </c>
      <c r="EO70" s="7">
        <f t="shared" si="13"/>
        <v>6</v>
      </c>
      <c r="EP70" s="40" t="str">
        <f t="shared" si="14"/>
        <v/>
      </c>
      <c r="EQ70" s="41" t="str">
        <f t="shared" si="15"/>
        <v/>
      </c>
    </row>
    <row r="71" spans="1:147" x14ac:dyDescent="0.25">
      <c r="A71" s="129" t="s">
        <v>433</v>
      </c>
      <c r="B71" s="129"/>
      <c r="C71" s="130">
        <v>65</v>
      </c>
      <c r="D71" s="177"/>
      <c r="E71" s="175" t="s">
        <v>37</v>
      </c>
      <c r="F71" s="175" t="s">
        <v>37</v>
      </c>
      <c r="G71" s="175" t="s">
        <v>37</v>
      </c>
      <c r="H71" s="175" t="s">
        <v>37</v>
      </c>
      <c r="I71" s="175" t="s">
        <v>37</v>
      </c>
      <c r="J71" s="175" t="s">
        <v>37</v>
      </c>
      <c r="K71" s="175" t="s">
        <v>37</v>
      </c>
      <c r="L71" s="175" t="s">
        <v>37</v>
      </c>
      <c r="M71" s="175" t="s">
        <v>37</v>
      </c>
      <c r="N71" s="175" t="s">
        <v>37</v>
      </c>
      <c r="O71" s="175" t="s">
        <v>37</v>
      </c>
      <c r="P71" s="175" t="s">
        <v>37</v>
      </c>
      <c r="Q71" s="175" t="s">
        <v>37</v>
      </c>
      <c r="R71" s="175" t="s">
        <v>37</v>
      </c>
      <c r="S71" s="175" t="s">
        <v>37</v>
      </c>
      <c r="T71" s="175" t="s">
        <v>37</v>
      </c>
      <c r="U71" s="175" t="s">
        <v>37</v>
      </c>
      <c r="V71" s="175" t="s">
        <v>37</v>
      </c>
      <c r="W71" s="175" t="s">
        <v>37</v>
      </c>
      <c r="X71" s="175" t="s">
        <v>37</v>
      </c>
      <c r="Y71" s="175" t="s">
        <v>37</v>
      </c>
      <c r="Z71" s="175" t="s">
        <v>37</v>
      </c>
      <c r="AA71" s="132">
        <v>1</v>
      </c>
      <c r="AB71" s="132">
        <v>1</v>
      </c>
      <c r="AC71" s="132"/>
      <c r="AD71" s="132">
        <v>1</v>
      </c>
      <c r="AE71" s="132"/>
      <c r="AF71" s="132"/>
      <c r="AG71" s="132">
        <v>1</v>
      </c>
      <c r="AH71" s="176"/>
      <c r="AI71" s="174"/>
      <c r="AJ71" s="132"/>
      <c r="AK71" s="132"/>
      <c r="AL71" s="132"/>
      <c r="AM71" s="132"/>
      <c r="AN71" s="132"/>
      <c r="AO71" s="139"/>
      <c r="AP71" s="132"/>
      <c r="AQ71" s="132"/>
      <c r="AR71" s="132"/>
      <c r="AS71" s="132"/>
      <c r="AT71" s="132"/>
      <c r="AU71" s="132"/>
      <c r="AV71" s="132"/>
      <c r="AW71" s="132"/>
      <c r="AX71" s="132"/>
      <c r="AY71" s="139"/>
      <c r="AZ71" s="132"/>
      <c r="BA71" s="132"/>
      <c r="BB71" s="132"/>
      <c r="BC71" s="132"/>
      <c r="BD71" s="132"/>
      <c r="BE71" s="132"/>
      <c r="BF71" s="132"/>
      <c r="BG71" s="132"/>
      <c r="BH71" s="132"/>
      <c r="BI71" s="132"/>
      <c r="BJ71" s="139"/>
      <c r="BK71" s="132"/>
      <c r="BL71" s="132"/>
      <c r="BM71" s="132"/>
      <c r="BN71" s="132"/>
      <c r="BO71" s="132"/>
      <c r="BP71" s="132"/>
      <c r="BQ71" s="132"/>
      <c r="BR71" s="132"/>
      <c r="BS71" s="132"/>
      <c r="BT71" s="132"/>
      <c r="BU71" s="132"/>
      <c r="BV71" s="132"/>
      <c r="BW71" s="132"/>
      <c r="BX71" s="132"/>
      <c r="BY71" s="139"/>
      <c r="BZ71" s="132"/>
      <c r="CA71" s="132"/>
      <c r="CB71" s="132"/>
      <c r="CC71" s="132"/>
      <c r="CD71" s="132"/>
      <c r="CE71" s="132"/>
      <c r="CF71" s="132"/>
      <c r="CG71" s="132"/>
      <c r="CH71" s="132"/>
      <c r="CI71" s="132"/>
      <c r="CJ71" s="139"/>
      <c r="CK71" s="132"/>
      <c r="CL71" s="132"/>
      <c r="CM71" s="132"/>
      <c r="CN71" s="132"/>
      <c r="CO71" s="132"/>
      <c r="CP71" s="132"/>
      <c r="CQ71" s="132"/>
      <c r="CR71" s="132"/>
      <c r="CS71" s="132"/>
      <c r="CT71" s="139"/>
      <c r="CU71" s="132"/>
      <c r="CV71" s="132"/>
      <c r="CW71" s="132"/>
      <c r="CX71" s="132"/>
      <c r="CY71" s="132"/>
      <c r="CZ71" s="132"/>
      <c r="DA71" s="132"/>
      <c r="DB71" s="132"/>
      <c r="DC71" s="132"/>
      <c r="DD71" s="132"/>
      <c r="DE71" s="132"/>
      <c r="DF71" s="132"/>
      <c r="DG71" s="132"/>
      <c r="DH71" s="139"/>
      <c r="DI71" s="109"/>
      <c r="DJ71" s="109"/>
      <c r="DK71" s="109"/>
      <c r="DL71" s="109"/>
      <c r="DM71" s="109"/>
      <c r="DN71" s="109"/>
      <c r="DO71" s="109"/>
      <c r="DP71" s="109"/>
      <c r="DQ71" s="109"/>
      <c r="DR71" s="109"/>
      <c r="DS71" s="109"/>
      <c r="DT71" s="109"/>
      <c r="DU71" s="109"/>
      <c r="DV71" s="139"/>
      <c r="DW71" s="109"/>
      <c r="DX71" s="109"/>
      <c r="DY71" s="109"/>
      <c r="DZ71" s="133"/>
      <c r="EA71" s="109"/>
      <c r="EB71" s="133"/>
      <c r="EC71" s="109"/>
      <c r="ED71" s="109"/>
      <c r="EE71" s="132"/>
      <c r="EF71" s="132"/>
      <c r="EG71" s="132"/>
      <c r="EH71" s="132"/>
      <c r="EI71" s="132"/>
      <c r="EJ71" s="132"/>
      <c r="EK71" s="5">
        <f t="shared" si="18"/>
        <v>4</v>
      </c>
      <c r="EL71" s="5">
        <v>1</v>
      </c>
      <c r="EM71" s="5">
        <f t="shared" si="19"/>
        <v>12</v>
      </c>
      <c r="EN71" s="153">
        <v>0</v>
      </c>
      <c r="EO71" s="7">
        <f t="shared" si="13"/>
        <v>8</v>
      </c>
      <c r="EP71" s="40" t="str">
        <f t="shared" si="14"/>
        <v/>
      </c>
      <c r="EQ71" s="41" t="str">
        <f t="shared" si="15"/>
        <v/>
      </c>
    </row>
    <row r="72" spans="1:147" x14ac:dyDescent="0.25">
      <c r="A72" s="129" t="s">
        <v>423</v>
      </c>
      <c r="B72" s="129"/>
      <c r="C72" s="130">
        <v>66</v>
      </c>
      <c r="D72" s="177"/>
      <c r="E72" s="175" t="s">
        <v>37</v>
      </c>
      <c r="F72" s="175" t="s">
        <v>37</v>
      </c>
      <c r="G72" s="175" t="s">
        <v>37</v>
      </c>
      <c r="H72" s="175" t="s">
        <v>37</v>
      </c>
      <c r="I72" s="175" t="s">
        <v>37</v>
      </c>
      <c r="J72" s="175" t="s">
        <v>37</v>
      </c>
      <c r="K72" s="175" t="s">
        <v>37</v>
      </c>
      <c r="L72" s="175" t="s">
        <v>37</v>
      </c>
      <c r="M72" s="175" t="s">
        <v>37</v>
      </c>
      <c r="N72" s="175" t="s">
        <v>37</v>
      </c>
      <c r="O72" s="175" t="s">
        <v>37</v>
      </c>
      <c r="P72" s="175" t="s">
        <v>37</v>
      </c>
      <c r="Q72" s="175" t="s">
        <v>37</v>
      </c>
      <c r="R72" s="175" t="s">
        <v>37</v>
      </c>
      <c r="S72" s="175" t="s">
        <v>37</v>
      </c>
      <c r="T72" s="175" t="s">
        <v>37</v>
      </c>
      <c r="U72" s="175" t="s">
        <v>37</v>
      </c>
      <c r="V72" s="175" t="s">
        <v>37</v>
      </c>
      <c r="W72" s="175" t="s">
        <v>37</v>
      </c>
      <c r="X72" s="175" t="s">
        <v>37</v>
      </c>
      <c r="Y72" s="175" t="s">
        <v>37</v>
      </c>
      <c r="Z72" s="175" t="s">
        <v>37</v>
      </c>
      <c r="AA72" s="175" t="s">
        <v>37</v>
      </c>
      <c r="AB72" s="175" t="s">
        <v>37</v>
      </c>
      <c r="AC72" s="132">
        <v>1</v>
      </c>
      <c r="AD72" s="132">
        <v>1</v>
      </c>
      <c r="AE72" s="132">
        <v>1</v>
      </c>
      <c r="AF72" s="132">
        <v>1</v>
      </c>
      <c r="AG72" s="132">
        <v>1</v>
      </c>
      <c r="AH72" s="176"/>
      <c r="AI72" s="174"/>
      <c r="AJ72" s="132"/>
      <c r="AK72" s="132"/>
      <c r="AL72" s="132"/>
      <c r="AM72" s="132"/>
      <c r="AN72" s="132"/>
      <c r="AO72" s="139"/>
      <c r="AP72" s="132"/>
      <c r="AQ72" s="132"/>
      <c r="AR72" s="132"/>
      <c r="AS72" s="132"/>
      <c r="AT72" s="132"/>
      <c r="AU72" s="132"/>
      <c r="AV72" s="132"/>
      <c r="AW72" s="132"/>
      <c r="AX72" s="132"/>
      <c r="AY72" s="139"/>
      <c r="AZ72" s="132"/>
      <c r="BA72" s="132"/>
      <c r="BB72" s="132"/>
      <c r="BC72" s="132"/>
      <c r="BD72" s="132"/>
      <c r="BE72" s="132"/>
      <c r="BF72" s="132"/>
      <c r="BG72" s="132"/>
      <c r="BH72" s="132"/>
      <c r="BI72" s="132"/>
      <c r="BJ72" s="139"/>
      <c r="BK72" s="132"/>
      <c r="BL72" s="132"/>
      <c r="BM72" s="132"/>
      <c r="BN72" s="132"/>
      <c r="BO72" s="132"/>
      <c r="BP72" s="132"/>
      <c r="BQ72" s="132"/>
      <c r="BR72" s="132"/>
      <c r="BS72" s="132"/>
      <c r="BT72" s="132"/>
      <c r="BU72" s="132"/>
      <c r="BV72" s="132"/>
      <c r="BW72" s="132"/>
      <c r="BX72" s="132"/>
      <c r="BY72" s="139"/>
      <c r="BZ72" s="132"/>
      <c r="CA72" s="132"/>
      <c r="CB72" s="132"/>
      <c r="CC72" s="132"/>
      <c r="CD72" s="132"/>
      <c r="CE72" s="132"/>
      <c r="CF72" s="132"/>
      <c r="CG72" s="132"/>
      <c r="CH72" s="132"/>
      <c r="CI72" s="132"/>
      <c r="CJ72" s="139"/>
      <c r="CK72" s="132"/>
      <c r="CL72" s="132"/>
      <c r="CM72" s="132"/>
      <c r="CN72" s="132"/>
      <c r="CO72" s="132"/>
      <c r="CP72" s="132"/>
      <c r="CQ72" s="132"/>
      <c r="CR72" s="132"/>
      <c r="CS72" s="132"/>
      <c r="CT72" s="139"/>
      <c r="CU72" s="132"/>
      <c r="CV72" s="132"/>
      <c r="CW72" s="132"/>
      <c r="CX72" s="132"/>
      <c r="CY72" s="132"/>
      <c r="CZ72" s="132"/>
      <c r="DA72" s="132"/>
      <c r="DB72" s="132"/>
      <c r="DC72" s="132"/>
      <c r="DD72" s="132"/>
      <c r="DE72" s="132"/>
      <c r="DF72" s="132"/>
      <c r="DG72" s="132"/>
      <c r="DH72" s="139"/>
      <c r="DI72" s="109"/>
      <c r="DJ72" s="109"/>
      <c r="DK72" s="109"/>
      <c r="DL72" s="109"/>
      <c r="DM72" s="109"/>
      <c r="DN72" s="109"/>
      <c r="DO72" s="109"/>
      <c r="DP72" s="109"/>
      <c r="DQ72" s="109"/>
      <c r="DR72" s="109"/>
      <c r="DS72" s="109"/>
      <c r="DT72" s="109"/>
      <c r="DU72" s="109"/>
      <c r="DV72" s="139"/>
      <c r="DW72" s="109"/>
      <c r="DX72" s="109"/>
      <c r="DY72" s="109"/>
      <c r="DZ72" s="133"/>
      <c r="EA72" s="109"/>
      <c r="EB72" s="133"/>
      <c r="EC72" s="109"/>
      <c r="ED72" s="109"/>
      <c r="EE72" s="132"/>
      <c r="EF72" s="132"/>
      <c r="EG72" s="132"/>
      <c r="EH72" s="132"/>
      <c r="EI72" s="132"/>
      <c r="EJ72" s="132"/>
      <c r="EK72" s="5">
        <f t="shared" si="16"/>
        <v>5</v>
      </c>
      <c r="EL72" s="5">
        <v>1</v>
      </c>
      <c r="EM72" s="5">
        <f t="shared" si="17"/>
        <v>12</v>
      </c>
      <c r="EN72" s="153">
        <v>0</v>
      </c>
      <c r="EO72" s="7">
        <f t="shared" si="13"/>
        <v>7</v>
      </c>
      <c r="EP72" s="40" t="str">
        <f t="shared" si="14"/>
        <v/>
      </c>
      <c r="EQ72" s="41" t="str">
        <f t="shared" si="15"/>
        <v/>
      </c>
    </row>
    <row r="73" spans="1:147" x14ac:dyDescent="0.25">
      <c r="A73" s="129" t="s">
        <v>424</v>
      </c>
      <c r="B73" s="129"/>
      <c r="C73" s="130">
        <v>67</v>
      </c>
      <c r="D73" s="177"/>
      <c r="E73" s="175" t="s">
        <v>37</v>
      </c>
      <c r="F73" s="175" t="s">
        <v>37</v>
      </c>
      <c r="G73" s="175" t="s">
        <v>37</v>
      </c>
      <c r="H73" s="175" t="s">
        <v>37</v>
      </c>
      <c r="I73" s="175" t="s">
        <v>37</v>
      </c>
      <c r="J73" s="175" t="s">
        <v>37</v>
      </c>
      <c r="K73" s="175" t="s">
        <v>37</v>
      </c>
      <c r="L73" s="175" t="s">
        <v>37</v>
      </c>
      <c r="M73" s="175" t="s">
        <v>37</v>
      </c>
      <c r="N73" s="175" t="s">
        <v>37</v>
      </c>
      <c r="O73" s="175" t="s">
        <v>37</v>
      </c>
      <c r="P73" s="175" t="s">
        <v>37</v>
      </c>
      <c r="Q73" s="175" t="s">
        <v>37</v>
      </c>
      <c r="R73" s="175" t="s">
        <v>37</v>
      </c>
      <c r="S73" s="175" t="s">
        <v>37</v>
      </c>
      <c r="T73" s="175" t="s">
        <v>37</v>
      </c>
      <c r="U73" s="175" t="s">
        <v>37</v>
      </c>
      <c r="V73" s="175" t="s">
        <v>37</v>
      </c>
      <c r="W73" s="175" t="s">
        <v>37</v>
      </c>
      <c r="X73" s="175" t="s">
        <v>37</v>
      </c>
      <c r="Y73" s="132">
        <v>1</v>
      </c>
      <c r="Z73" s="132">
        <v>1</v>
      </c>
      <c r="AA73" s="132">
        <v>1</v>
      </c>
      <c r="AB73" s="132">
        <v>1</v>
      </c>
      <c r="AC73" s="132">
        <v>1</v>
      </c>
      <c r="AD73" s="132">
        <v>1</v>
      </c>
      <c r="AE73" s="132"/>
      <c r="AF73" s="132">
        <v>1</v>
      </c>
      <c r="AG73" s="132">
        <v>1</v>
      </c>
      <c r="AH73" s="176"/>
      <c r="AI73" s="174"/>
      <c r="AJ73" s="132"/>
      <c r="AK73" s="132"/>
      <c r="AL73" s="132"/>
      <c r="AM73" s="132"/>
      <c r="AN73" s="132"/>
      <c r="AO73" s="139"/>
      <c r="AP73" s="132"/>
      <c r="AQ73" s="132"/>
      <c r="AR73" s="132"/>
      <c r="AS73" s="132"/>
      <c r="AT73" s="132"/>
      <c r="AU73" s="132"/>
      <c r="AV73" s="132"/>
      <c r="AW73" s="132"/>
      <c r="AX73" s="132"/>
      <c r="AY73" s="139"/>
      <c r="AZ73" s="132"/>
      <c r="BA73" s="132"/>
      <c r="BB73" s="132"/>
      <c r="BC73" s="132"/>
      <c r="BD73" s="132"/>
      <c r="BE73" s="132"/>
      <c r="BF73" s="132"/>
      <c r="BG73" s="132"/>
      <c r="BH73" s="132"/>
      <c r="BI73" s="132"/>
      <c r="BJ73" s="139"/>
      <c r="BK73" s="132"/>
      <c r="BL73" s="132"/>
      <c r="BM73" s="132"/>
      <c r="BN73" s="132"/>
      <c r="BO73" s="132"/>
      <c r="BP73" s="132"/>
      <c r="BQ73" s="132"/>
      <c r="BR73" s="132"/>
      <c r="BS73" s="132"/>
      <c r="BT73" s="132"/>
      <c r="BU73" s="132"/>
      <c r="BV73" s="132"/>
      <c r="BW73" s="132"/>
      <c r="BX73" s="132"/>
      <c r="BY73" s="139"/>
      <c r="BZ73" s="132"/>
      <c r="CA73" s="132"/>
      <c r="CB73" s="132"/>
      <c r="CC73" s="132"/>
      <c r="CD73" s="132"/>
      <c r="CE73" s="132"/>
      <c r="CF73" s="132"/>
      <c r="CG73" s="132"/>
      <c r="CH73" s="132"/>
      <c r="CI73" s="132"/>
      <c r="CJ73" s="139"/>
      <c r="CK73" s="132"/>
      <c r="CL73" s="132"/>
      <c r="CM73" s="132"/>
      <c r="CN73" s="132"/>
      <c r="CO73" s="132"/>
      <c r="CP73" s="132"/>
      <c r="CQ73" s="132"/>
      <c r="CR73" s="132"/>
      <c r="CS73" s="132"/>
      <c r="CT73" s="139"/>
      <c r="CU73" s="132"/>
      <c r="CV73" s="132"/>
      <c r="CW73" s="132"/>
      <c r="CX73" s="132"/>
      <c r="CY73" s="132"/>
      <c r="CZ73" s="132"/>
      <c r="DA73" s="132"/>
      <c r="DB73" s="132"/>
      <c r="DC73" s="132"/>
      <c r="DD73" s="132"/>
      <c r="DE73" s="132"/>
      <c r="DF73" s="132"/>
      <c r="DG73" s="132"/>
      <c r="DH73" s="139"/>
      <c r="DI73" s="109"/>
      <c r="DJ73" s="109"/>
      <c r="DK73" s="109"/>
      <c r="DL73" s="109"/>
      <c r="DM73" s="109"/>
      <c r="DN73" s="109"/>
      <c r="DO73" s="109"/>
      <c r="DP73" s="109"/>
      <c r="DQ73" s="109"/>
      <c r="DR73" s="109"/>
      <c r="DS73" s="109"/>
      <c r="DT73" s="109"/>
      <c r="DU73" s="109"/>
      <c r="DV73" s="139"/>
      <c r="DW73" s="109"/>
      <c r="DX73" s="109"/>
      <c r="DY73" s="109"/>
      <c r="DZ73" s="133"/>
      <c r="EA73" s="109"/>
      <c r="EB73" s="133"/>
      <c r="EC73" s="109"/>
      <c r="ED73" s="109"/>
      <c r="EE73" s="132"/>
      <c r="EF73" s="132"/>
      <c r="EG73" s="132"/>
      <c r="EH73" s="132"/>
      <c r="EI73" s="132"/>
      <c r="EJ73" s="132"/>
      <c r="EK73" s="5">
        <f t="shared" si="16"/>
        <v>8</v>
      </c>
      <c r="EL73" s="5">
        <v>1</v>
      </c>
      <c r="EM73" s="5">
        <f t="shared" si="17"/>
        <v>12</v>
      </c>
      <c r="EN73" s="153">
        <v>0</v>
      </c>
      <c r="EO73" s="7">
        <f t="shared" si="13"/>
        <v>4</v>
      </c>
      <c r="EP73" s="40" t="str">
        <f t="shared" si="14"/>
        <v/>
      </c>
      <c r="EQ73" s="41" t="str">
        <f t="shared" si="15"/>
        <v/>
      </c>
    </row>
    <row r="74" spans="1:147" x14ac:dyDescent="0.25">
      <c r="A74" s="129" t="s">
        <v>431</v>
      </c>
      <c r="B74" s="129"/>
      <c r="C74" s="130">
        <v>68</v>
      </c>
      <c r="D74" s="177"/>
      <c r="E74" s="175" t="s">
        <v>37</v>
      </c>
      <c r="F74" s="175" t="s">
        <v>37</v>
      </c>
      <c r="G74" s="175" t="s">
        <v>37</v>
      </c>
      <c r="H74" s="175" t="s">
        <v>37</v>
      </c>
      <c r="I74" s="175" t="s">
        <v>37</v>
      </c>
      <c r="J74" s="175" t="s">
        <v>37</v>
      </c>
      <c r="K74" s="175" t="s">
        <v>37</v>
      </c>
      <c r="L74" s="175" t="s">
        <v>37</v>
      </c>
      <c r="M74" s="175" t="s">
        <v>37</v>
      </c>
      <c r="N74" s="175" t="s">
        <v>37</v>
      </c>
      <c r="O74" s="175" t="s">
        <v>37</v>
      </c>
      <c r="P74" s="175" t="s">
        <v>37</v>
      </c>
      <c r="Q74" s="175" t="s">
        <v>37</v>
      </c>
      <c r="R74" s="175" t="s">
        <v>37</v>
      </c>
      <c r="S74" s="175" t="s">
        <v>37</v>
      </c>
      <c r="T74" s="175" t="s">
        <v>37</v>
      </c>
      <c r="U74" s="175" t="s">
        <v>37</v>
      </c>
      <c r="V74" s="175" t="s">
        <v>37</v>
      </c>
      <c r="W74" s="175" t="s">
        <v>37</v>
      </c>
      <c r="X74" s="175" t="s">
        <v>37</v>
      </c>
      <c r="Y74" s="175" t="s">
        <v>37</v>
      </c>
      <c r="Z74" s="175" t="s">
        <v>37</v>
      </c>
      <c r="AA74" s="175" t="s">
        <v>37</v>
      </c>
      <c r="AB74" s="175" t="s">
        <v>37</v>
      </c>
      <c r="AC74" s="175" t="s">
        <v>37</v>
      </c>
      <c r="AD74" s="132">
        <v>1</v>
      </c>
      <c r="AE74" s="132">
        <v>1</v>
      </c>
      <c r="AF74" s="132">
        <v>1</v>
      </c>
      <c r="AG74" s="132"/>
      <c r="AH74" s="176"/>
      <c r="AI74" s="174"/>
      <c r="AJ74" s="132"/>
      <c r="AK74" s="132"/>
      <c r="AL74" s="132"/>
      <c r="AM74" s="132"/>
      <c r="AN74" s="132"/>
      <c r="AO74" s="139"/>
      <c r="AP74" s="132"/>
      <c r="AQ74" s="132"/>
      <c r="AR74" s="132"/>
      <c r="AS74" s="132"/>
      <c r="AT74" s="132"/>
      <c r="AU74" s="132"/>
      <c r="AV74" s="132"/>
      <c r="AW74" s="132"/>
      <c r="AX74" s="132"/>
      <c r="AY74" s="139"/>
      <c r="AZ74" s="132"/>
      <c r="BA74" s="132"/>
      <c r="BB74" s="132"/>
      <c r="BC74" s="132"/>
      <c r="BD74" s="132"/>
      <c r="BE74" s="132"/>
      <c r="BF74" s="132"/>
      <c r="BG74" s="132"/>
      <c r="BH74" s="132"/>
      <c r="BI74" s="132"/>
      <c r="BJ74" s="139"/>
      <c r="BK74" s="132"/>
      <c r="BL74" s="132"/>
      <c r="BM74" s="132"/>
      <c r="BN74" s="132"/>
      <c r="BO74" s="132"/>
      <c r="BP74" s="132"/>
      <c r="BQ74" s="132"/>
      <c r="BR74" s="132"/>
      <c r="BS74" s="132"/>
      <c r="BT74" s="132"/>
      <c r="BU74" s="132"/>
      <c r="BV74" s="132"/>
      <c r="BW74" s="132"/>
      <c r="BX74" s="132"/>
      <c r="BY74" s="139"/>
      <c r="BZ74" s="132"/>
      <c r="CA74" s="132"/>
      <c r="CB74" s="132"/>
      <c r="CC74" s="132"/>
      <c r="CD74" s="132"/>
      <c r="CE74" s="132"/>
      <c r="CF74" s="132"/>
      <c r="CG74" s="132"/>
      <c r="CH74" s="132"/>
      <c r="CI74" s="132"/>
      <c r="CJ74" s="139"/>
      <c r="CK74" s="132"/>
      <c r="CL74" s="132"/>
      <c r="CM74" s="132"/>
      <c r="CN74" s="132"/>
      <c r="CO74" s="132"/>
      <c r="CP74" s="132"/>
      <c r="CQ74" s="132"/>
      <c r="CR74" s="132"/>
      <c r="CS74" s="132"/>
      <c r="CT74" s="139"/>
      <c r="CU74" s="132"/>
      <c r="CV74" s="132"/>
      <c r="CW74" s="132"/>
      <c r="CX74" s="132"/>
      <c r="CY74" s="132"/>
      <c r="CZ74" s="132"/>
      <c r="DA74" s="132"/>
      <c r="DB74" s="132"/>
      <c r="DC74" s="132"/>
      <c r="DD74" s="132"/>
      <c r="DE74" s="132"/>
      <c r="DF74" s="132"/>
      <c r="DG74" s="132"/>
      <c r="DH74" s="139"/>
      <c r="DI74" s="109"/>
      <c r="DJ74" s="109"/>
      <c r="DK74" s="109"/>
      <c r="DL74" s="109"/>
      <c r="DM74" s="109"/>
      <c r="DN74" s="109"/>
      <c r="DO74" s="109"/>
      <c r="DP74" s="109"/>
      <c r="DQ74" s="109"/>
      <c r="DR74" s="109"/>
      <c r="DS74" s="109"/>
      <c r="DT74" s="109"/>
      <c r="DU74" s="109"/>
      <c r="DV74" s="139"/>
      <c r="DW74" s="109"/>
      <c r="DX74" s="109"/>
      <c r="DY74" s="109"/>
      <c r="DZ74" s="133"/>
      <c r="EA74" s="109"/>
      <c r="EB74" s="133"/>
      <c r="EC74" s="109"/>
      <c r="ED74" s="109"/>
      <c r="EE74" s="132"/>
      <c r="EF74" s="132"/>
      <c r="EG74" s="132"/>
      <c r="EH74" s="132"/>
      <c r="EI74" s="132"/>
      <c r="EJ74" s="132"/>
      <c r="EK74" s="5">
        <f t="shared" si="16"/>
        <v>3</v>
      </c>
      <c r="EL74" s="5">
        <v>1</v>
      </c>
      <c r="EM74" s="5">
        <f t="shared" si="17"/>
        <v>12</v>
      </c>
      <c r="EN74" s="153">
        <v>0</v>
      </c>
      <c r="EO74" s="7">
        <f t="shared" si="13"/>
        <v>9</v>
      </c>
      <c r="EP74" s="40" t="str">
        <f t="shared" si="14"/>
        <v/>
      </c>
      <c r="EQ74" s="41" t="str">
        <f t="shared" si="15"/>
        <v/>
      </c>
    </row>
    <row r="75" spans="1:147" x14ac:dyDescent="0.25">
      <c r="A75" s="129" t="s">
        <v>370</v>
      </c>
      <c r="B75" s="129"/>
      <c r="C75" s="130">
        <v>69</v>
      </c>
      <c r="D75" s="177"/>
      <c r="E75" s="175" t="s">
        <v>37</v>
      </c>
      <c r="F75" s="175" t="s">
        <v>37</v>
      </c>
      <c r="G75" s="175" t="s">
        <v>37</v>
      </c>
      <c r="H75" s="175" t="s">
        <v>37</v>
      </c>
      <c r="I75" s="175" t="s">
        <v>37</v>
      </c>
      <c r="J75" s="175" t="s">
        <v>37</v>
      </c>
      <c r="K75" s="175" t="s">
        <v>37</v>
      </c>
      <c r="L75" s="175" t="s">
        <v>37</v>
      </c>
      <c r="M75" s="175" t="s">
        <v>37</v>
      </c>
      <c r="N75" s="175" t="s">
        <v>37</v>
      </c>
      <c r="O75" s="175" t="s">
        <v>37</v>
      </c>
      <c r="P75" s="175" t="s">
        <v>37</v>
      </c>
      <c r="Q75" s="175" t="s">
        <v>37</v>
      </c>
      <c r="R75" s="175" t="s">
        <v>37</v>
      </c>
      <c r="S75" s="175" t="s">
        <v>37</v>
      </c>
      <c r="T75" s="175" t="s">
        <v>37</v>
      </c>
      <c r="U75" s="175" t="s">
        <v>37</v>
      </c>
      <c r="V75" s="175" t="s">
        <v>37</v>
      </c>
      <c r="W75" s="175" t="s">
        <v>37</v>
      </c>
      <c r="X75" s="175" t="s">
        <v>37</v>
      </c>
      <c r="Y75" s="175" t="s">
        <v>37</v>
      </c>
      <c r="Z75" s="175" t="s">
        <v>37</v>
      </c>
      <c r="AA75" s="175" t="s">
        <v>37</v>
      </c>
      <c r="AB75" s="175" t="s">
        <v>37</v>
      </c>
      <c r="AC75" s="175" t="s">
        <v>37</v>
      </c>
      <c r="AD75" s="175" t="s">
        <v>37</v>
      </c>
      <c r="AE75" s="132">
        <v>1</v>
      </c>
      <c r="AF75" s="132"/>
      <c r="AG75" s="132"/>
      <c r="AH75" s="176"/>
      <c r="AI75" s="174"/>
      <c r="AJ75" s="132"/>
      <c r="AK75" s="132"/>
      <c r="AL75" s="132"/>
      <c r="AM75" s="132"/>
      <c r="AN75" s="132"/>
      <c r="AO75" s="139"/>
      <c r="AP75" s="132"/>
      <c r="AQ75" s="132"/>
      <c r="AR75" s="132"/>
      <c r="AS75" s="132"/>
      <c r="AT75" s="132"/>
      <c r="AU75" s="132"/>
      <c r="AV75" s="132"/>
      <c r="AW75" s="132"/>
      <c r="AX75" s="132"/>
      <c r="AY75" s="139"/>
      <c r="AZ75" s="132"/>
      <c r="BA75" s="132"/>
      <c r="BB75" s="132"/>
      <c r="BC75" s="132"/>
      <c r="BD75" s="132"/>
      <c r="BE75" s="132"/>
      <c r="BF75" s="132"/>
      <c r="BG75" s="132"/>
      <c r="BH75" s="132"/>
      <c r="BI75" s="132"/>
      <c r="BJ75" s="139"/>
      <c r="BK75" s="132"/>
      <c r="BL75" s="132"/>
      <c r="BM75" s="132"/>
      <c r="BN75" s="132"/>
      <c r="BO75" s="132"/>
      <c r="BP75" s="132"/>
      <c r="BQ75" s="132"/>
      <c r="BR75" s="132"/>
      <c r="BS75" s="132"/>
      <c r="BT75" s="132"/>
      <c r="BU75" s="132"/>
      <c r="BV75" s="132"/>
      <c r="BW75" s="132"/>
      <c r="BX75" s="132"/>
      <c r="BY75" s="139"/>
      <c r="BZ75" s="132"/>
      <c r="CA75" s="132"/>
      <c r="CB75" s="132"/>
      <c r="CC75" s="132"/>
      <c r="CD75" s="132"/>
      <c r="CE75" s="132"/>
      <c r="CF75" s="132"/>
      <c r="CG75" s="132"/>
      <c r="CH75" s="132"/>
      <c r="CI75" s="132"/>
      <c r="CJ75" s="139"/>
      <c r="CK75" s="132"/>
      <c r="CL75" s="132"/>
      <c r="CM75" s="132"/>
      <c r="CN75" s="132"/>
      <c r="CO75" s="132"/>
      <c r="CP75" s="132"/>
      <c r="CQ75" s="132"/>
      <c r="CR75" s="132"/>
      <c r="CS75" s="132"/>
      <c r="CT75" s="139"/>
      <c r="CU75" s="132"/>
      <c r="CV75" s="132"/>
      <c r="CW75" s="132"/>
      <c r="CX75" s="132"/>
      <c r="CY75" s="132"/>
      <c r="CZ75" s="132"/>
      <c r="DA75" s="132"/>
      <c r="DB75" s="132"/>
      <c r="DC75" s="132"/>
      <c r="DD75" s="132"/>
      <c r="DE75" s="132"/>
      <c r="DF75" s="132"/>
      <c r="DG75" s="132"/>
      <c r="DH75" s="139"/>
      <c r="DI75" s="109"/>
      <c r="DJ75" s="109"/>
      <c r="DK75" s="109"/>
      <c r="DL75" s="109"/>
      <c r="DM75" s="109"/>
      <c r="DN75" s="109"/>
      <c r="DO75" s="109"/>
      <c r="DP75" s="109"/>
      <c r="DQ75" s="109"/>
      <c r="DR75" s="109"/>
      <c r="DS75" s="109"/>
      <c r="DT75" s="109"/>
      <c r="DU75" s="109"/>
      <c r="DV75" s="139"/>
      <c r="DW75" s="109"/>
      <c r="DX75" s="109"/>
      <c r="DY75" s="109"/>
      <c r="DZ75" s="133"/>
      <c r="EA75" s="109"/>
      <c r="EB75" s="133"/>
      <c r="EC75" s="109"/>
      <c r="ED75" s="109"/>
      <c r="EE75" s="132"/>
      <c r="EF75" s="132"/>
      <c r="EG75" s="132"/>
      <c r="EH75" s="132"/>
      <c r="EI75" s="132"/>
      <c r="EJ75" s="132"/>
      <c r="EK75" s="5">
        <f t="shared" ref="EK75:EK78" si="20">SUM(E75:EJ75)</f>
        <v>1</v>
      </c>
      <c r="EL75" s="5">
        <v>1</v>
      </c>
      <c r="EM75" s="5">
        <f t="shared" ref="EM75:EM78" si="21">EL75*12</f>
        <v>12</v>
      </c>
      <c r="EN75" s="153">
        <v>0</v>
      </c>
      <c r="EO75" s="7">
        <f t="shared" si="13"/>
        <v>11</v>
      </c>
      <c r="EP75" s="40" t="str">
        <f t="shared" si="14"/>
        <v/>
      </c>
      <c r="EQ75" s="41" t="str">
        <f t="shared" si="15"/>
        <v/>
      </c>
    </row>
    <row r="76" spans="1:147" x14ac:dyDescent="0.25">
      <c r="A76" s="129" t="s">
        <v>434</v>
      </c>
      <c r="B76" s="129"/>
      <c r="C76" s="130">
        <v>70</v>
      </c>
      <c r="D76" s="177"/>
      <c r="E76" s="175" t="s">
        <v>37</v>
      </c>
      <c r="F76" s="175" t="s">
        <v>37</v>
      </c>
      <c r="G76" s="175" t="s">
        <v>37</v>
      </c>
      <c r="H76" s="175" t="s">
        <v>37</v>
      </c>
      <c r="I76" s="175" t="s">
        <v>37</v>
      </c>
      <c r="J76" s="175" t="s">
        <v>37</v>
      </c>
      <c r="K76" s="175" t="s">
        <v>37</v>
      </c>
      <c r="L76" s="175" t="s">
        <v>37</v>
      </c>
      <c r="M76" s="175" t="s">
        <v>37</v>
      </c>
      <c r="N76" s="175" t="s">
        <v>37</v>
      </c>
      <c r="O76" s="175" t="s">
        <v>37</v>
      </c>
      <c r="P76" s="175" t="s">
        <v>37</v>
      </c>
      <c r="Q76" s="175" t="s">
        <v>37</v>
      </c>
      <c r="R76" s="175" t="s">
        <v>37</v>
      </c>
      <c r="S76" s="175" t="s">
        <v>37</v>
      </c>
      <c r="T76" s="175" t="s">
        <v>37</v>
      </c>
      <c r="U76" s="175" t="s">
        <v>37</v>
      </c>
      <c r="V76" s="175" t="s">
        <v>37</v>
      </c>
      <c r="W76" s="175" t="s">
        <v>37</v>
      </c>
      <c r="X76" s="175" t="s">
        <v>37</v>
      </c>
      <c r="Y76" s="175" t="s">
        <v>37</v>
      </c>
      <c r="Z76" s="175" t="s">
        <v>37</v>
      </c>
      <c r="AA76" s="175" t="s">
        <v>37</v>
      </c>
      <c r="AB76" s="175" t="s">
        <v>37</v>
      </c>
      <c r="AC76" s="175" t="s">
        <v>37</v>
      </c>
      <c r="AD76" s="175" t="s">
        <v>37</v>
      </c>
      <c r="AE76" s="196">
        <v>1</v>
      </c>
      <c r="AF76" s="196">
        <v>1</v>
      </c>
      <c r="AG76" s="196">
        <v>1</v>
      </c>
      <c r="AH76" s="197"/>
      <c r="AI76" s="174"/>
      <c r="AJ76" s="132"/>
      <c r="AK76" s="132"/>
      <c r="AL76" s="132"/>
      <c r="AM76" s="132"/>
      <c r="AN76" s="132"/>
      <c r="AO76" s="139"/>
      <c r="AP76" s="132"/>
      <c r="AQ76" s="132"/>
      <c r="AR76" s="132"/>
      <c r="AS76" s="132"/>
      <c r="AT76" s="132"/>
      <c r="AU76" s="132"/>
      <c r="AV76" s="132"/>
      <c r="AW76" s="132"/>
      <c r="AX76" s="132"/>
      <c r="AY76" s="139"/>
      <c r="AZ76" s="132"/>
      <c r="BA76" s="132"/>
      <c r="BB76" s="132"/>
      <c r="BC76" s="132"/>
      <c r="BD76" s="132"/>
      <c r="BE76" s="132"/>
      <c r="BF76" s="132"/>
      <c r="BG76" s="132"/>
      <c r="BH76" s="132"/>
      <c r="BI76" s="132"/>
      <c r="BJ76" s="139"/>
      <c r="BK76" s="132"/>
      <c r="BL76" s="132"/>
      <c r="BM76" s="132"/>
      <c r="BN76" s="132"/>
      <c r="BO76" s="132"/>
      <c r="BP76" s="132"/>
      <c r="BQ76" s="132"/>
      <c r="BR76" s="132"/>
      <c r="BS76" s="132"/>
      <c r="BT76" s="132"/>
      <c r="BU76" s="132"/>
      <c r="BV76" s="132"/>
      <c r="BW76" s="132"/>
      <c r="BX76" s="132"/>
      <c r="BY76" s="139"/>
      <c r="BZ76" s="132"/>
      <c r="CA76" s="132"/>
      <c r="CB76" s="132"/>
      <c r="CC76" s="132"/>
      <c r="CD76" s="132"/>
      <c r="CE76" s="132"/>
      <c r="CF76" s="132"/>
      <c r="CG76" s="132"/>
      <c r="CH76" s="132"/>
      <c r="CI76" s="132"/>
      <c r="CJ76" s="139"/>
      <c r="CK76" s="132"/>
      <c r="CL76" s="132"/>
      <c r="CM76" s="132"/>
      <c r="CN76" s="132"/>
      <c r="CO76" s="132"/>
      <c r="CP76" s="132"/>
      <c r="CQ76" s="132"/>
      <c r="CR76" s="132"/>
      <c r="CS76" s="132"/>
      <c r="CT76" s="139"/>
      <c r="CU76" s="132"/>
      <c r="CV76" s="132"/>
      <c r="CW76" s="132"/>
      <c r="CX76" s="132"/>
      <c r="CY76" s="132"/>
      <c r="CZ76" s="132"/>
      <c r="DA76" s="132"/>
      <c r="DB76" s="132"/>
      <c r="DC76" s="132"/>
      <c r="DD76" s="132"/>
      <c r="DE76" s="132"/>
      <c r="DF76" s="132"/>
      <c r="DG76" s="132"/>
      <c r="DH76" s="139"/>
      <c r="DI76" s="109"/>
      <c r="DJ76" s="109"/>
      <c r="DK76" s="109"/>
      <c r="DL76" s="109"/>
      <c r="DM76" s="109"/>
      <c r="DN76" s="109"/>
      <c r="DO76" s="109"/>
      <c r="DP76" s="109"/>
      <c r="DQ76" s="109"/>
      <c r="DR76" s="109"/>
      <c r="DS76" s="109"/>
      <c r="DT76" s="109"/>
      <c r="DU76" s="109"/>
      <c r="DV76" s="139"/>
      <c r="DW76" s="109"/>
      <c r="DX76" s="109"/>
      <c r="DY76" s="109"/>
      <c r="DZ76" s="133"/>
      <c r="EA76" s="109"/>
      <c r="EB76" s="133"/>
      <c r="EC76" s="109"/>
      <c r="ED76" s="109"/>
      <c r="EE76" s="132"/>
      <c r="EF76" s="132"/>
      <c r="EG76" s="132"/>
      <c r="EH76" s="132"/>
      <c r="EI76" s="132"/>
      <c r="EJ76" s="132"/>
      <c r="EK76" s="5">
        <f t="shared" si="20"/>
        <v>3</v>
      </c>
      <c r="EL76" s="5">
        <v>1</v>
      </c>
      <c r="EM76" s="5">
        <f t="shared" si="21"/>
        <v>12</v>
      </c>
      <c r="EN76" s="153">
        <v>0</v>
      </c>
      <c r="EO76" s="7">
        <f t="shared" si="13"/>
        <v>9</v>
      </c>
      <c r="EP76" s="40" t="str">
        <f t="shared" si="14"/>
        <v/>
      </c>
      <c r="EQ76" s="41" t="str">
        <f t="shared" si="15"/>
        <v/>
      </c>
    </row>
    <row r="77" spans="1:147" x14ac:dyDescent="0.25">
      <c r="A77" s="129" t="s">
        <v>16</v>
      </c>
      <c r="B77" s="129"/>
      <c r="C77" s="130">
        <v>71</v>
      </c>
      <c r="D77" s="177"/>
      <c r="E77" s="175" t="s">
        <v>37</v>
      </c>
      <c r="F77" s="175" t="s">
        <v>37</v>
      </c>
      <c r="G77" s="175" t="s">
        <v>37</v>
      </c>
      <c r="H77" s="175" t="s">
        <v>37</v>
      </c>
      <c r="I77" s="175" t="s">
        <v>37</v>
      </c>
      <c r="J77" s="175" t="s">
        <v>37</v>
      </c>
      <c r="K77" s="175" t="s">
        <v>37</v>
      </c>
      <c r="L77" s="175" t="s">
        <v>37</v>
      </c>
      <c r="M77" s="175" t="s">
        <v>37</v>
      </c>
      <c r="N77" s="175" t="s">
        <v>37</v>
      </c>
      <c r="O77" s="175" t="s">
        <v>37</v>
      </c>
      <c r="P77" s="175" t="s">
        <v>37</v>
      </c>
      <c r="Q77" s="175" t="s">
        <v>37</v>
      </c>
      <c r="R77" s="175" t="s">
        <v>37</v>
      </c>
      <c r="S77" s="175" t="s">
        <v>37</v>
      </c>
      <c r="T77" s="175" t="s">
        <v>37</v>
      </c>
      <c r="U77" s="175" t="s">
        <v>37</v>
      </c>
      <c r="V77" s="175" t="s">
        <v>37</v>
      </c>
      <c r="W77" s="175" t="s">
        <v>37</v>
      </c>
      <c r="X77" s="175" t="s">
        <v>37</v>
      </c>
      <c r="Y77" s="175" t="s">
        <v>37</v>
      </c>
      <c r="Z77" s="175" t="s">
        <v>37</v>
      </c>
      <c r="AA77" s="175" t="s">
        <v>37</v>
      </c>
      <c r="AB77" s="175" t="s">
        <v>37</v>
      </c>
      <c r="AC77" s="175" t="s">
        <v>37</v>
      </c>
      <c r="AD77" s="175" t="s">
        <v>37</v>
      </c>
      <c r="AE77" s="175" t="s">
        <v>37</v>
      </c>
      <c r="AF77" s="194">
        <v>1</v>
      </c>
      <c r="AG77" s="194">
        <v>1</v>
      </c>
      <c r="AH77" s="195"/>
      <c r="AI77" s="174"/>
      <c r="AJ77" s="132"/>
      <c r="AK77" s="132"/>
      <c r="AL77" s="132"/>
      <c r="AM77" s="132"/>
      <c r="AN77" s="132"/>
      <c r="AO77" s="139"/>
      <c r="AP77" s="132"/>
      <c r="AQ77" s="132"/>
      <c r="AR77" s="132"/>
      <c r="AS77" s="132"/>
      <c r="AT77" s="132"/>
      <c r="AU77" s="132"/>
      <c r="AV77" s="132"/>
      <c r="AW77" s="132"/>
      <c r="AX77" s="132"/>
      <c r="AY77" s="139"/>
      <c r="AZ77" s="132"/>
      <c r="BA77" s="132"/>
      <c r="BB77" s="132"/>
      <c r="BC77" s="132"/>
      <c r="BD77" s="132"/>
      <c r="BE77" s="132"/>
      <c r="BF77" s="132"/>
      <c r="BG77" s="132"/>
      <c r="BH77" s="132"/>
      <c r="BI77" s="132"/>
      <c r="BJ77" s="139"/>
      <c r="BK77" s="132"/>
      <c r="BL77" s="132"/>
      <c r="BM77" s="132"/>
      <c r="BN77" s="132"/>
      <c r="BO77" s="132"/>
      <c r="BP77" s="132"/>
      <c r="BQ77" s="132"/>
      <c r="BR77" s="132"/>
      <c r="BS77" s="132"/>
      <c r="BT77" s="132"/>
      <c r="BU77" s="132"/>
      <c r="BV77" s="132"/>
      <c r="BW77" s="132"/>
      <c r="BX77" s="132"/>
      <c r="BY77" s="139"/>
      <c r="BZ77" s="132"/>
      <c r="CA77" s="132"/>
      <c r="CB77" s="132"/>
      <c r="CC77" s="132"/>
      <c r="CD77" s="132"/>
      <c r="CE77" s="132"/>
      <c r="CF77" s="132"/>
      <c r="CG77" s="132"/>
      <c r="CH77" s="132"/>
      <c r="CI77" s="132"/>
      <c r="CJ77" s="139"/>
      <c r="CK77" s="132"/>
      <c r="CL77" s="132"/>
      <c r="CM77" s="132"/>
      <c r="CN77" s="132"/>
      <c r="CO77" s="132"/>
      <c r="CP77" s="132"/>
      <c r="CQ77" s="132"/>
      <c r="CR77" s="132"/>
      <c r="CS77" s="132"/>
      <c r="CT77" s="139"/>
      <c r="CU77" s="132"/>
      <c r="CV77" s="132"/>
      <c r="CW77" s="132"/>
      <c r="CX77" s="132"/>
      <c r="CY77" s="132"/>
      <c r="CZ77" s="132"/>
      <c r="DA77" s="132"/>
      <c r="DB77" s="132"/>
      <c r="DC77" s="132"/>
      <c r="DD77" s="132"/>
      <c r="DE77" s="132"/>
      <c r="DF77" s="132"/>
      <c r="DG77" s="132"/>
      <c r="DH77" s="139"/>
      <c r="DI77" s="109"/>
      <c r="DJ77" s="109"/>
      <c r="DK77" s="109"/>
      <c r="DL77" s="109"/>
      <c r="DM77" s="109"/>
      <c r="DN77" s="109"/>
      <c r="DO77" s="109"/>
      <c r="DP77" s="109"/>
      <c r="DQ77" s="109"/>
      <c r="DR77" s="109"/>
      <c r="DS77" s="109"/>
      <c r="DT77" s="109"/>
      <c r="DU77" s="109"/>
      <c r="DV77" s="139"/>
      <c r="DW77" s="109"/>
      <c r="DX77" s="109"/>
      <c r="DY77" s="109"/>
      <c r="DZ77" s="133"/>
      <c r="EA77" s="109"/>
      <c r="EB77" s="133"/>
      <c r="EC77" s="109"/>
      <c r="ED77" s="109"/>
      <c r="EE77" s="132"/>
      <c r="EF77" s="132"/>
      <c r="EG77" s="132"/>
      <c r="EH77" s="132"/>
      <c r="EI77" s="132"/>
      <c r="EJ77" s="132"/>
      <c r="EK77" s="5">
        <f t="shared" si="20"/>
        <v>2</v>
      </c>
      <c r="EL77" s="5">
        <v>1</v>
      </c>
      <c r="EM77" s="5">
        <f t="shared" si="21"/>
        <v>12</v>
      </c>
      <c r="EN77" s="153">
        <v>0</v>
      </c>
      <c r="EO77" s="7">
        <f t="shared" si="13"/>
        <v>10</v>
      </c>
      <c r="EP77" s="40" t="str">
        <f t="shared" si="14"/>
        <v/>
      </c>
      <c r="EQ77" s="41" t="str">
        <f t="shared" si="15"/>
        <v/>
      </c>
    </row>
    <row r="78" spans="1:147" x14ac:dyDescent="0.25">
      <c r="A78" s="129"/>
      <c r="B78" s="129"/>
      <c r="C78" s="130">
        <v>72</v>
      </c>
      <c r="D78" s="177"/>
      <c r="E78" s="175" t="s">
        <v>37</v>
      </c>
      <c r="F78" s="175" t="s">
        <v>37</v>
      </c>
      <c r="G78" s="175" t="s">
        <v>37</v>
      </c>
      <c r="H78" s="175" t="s">
        <v>37</v>
      </c>
      <c r="I78" s="175" t="s">
        <v>37</v>
      </c>
      <c r="J78" s="175" t="s">
        <v>37</v>
      </c>
      <c r="K78" s="175" t="s">
        <v>37</v>
      </c>
      <c r="L78" s="175" t="s">
        <v>37</v>
      </c>
      <c r="M78" s="175" t="s">
        <v>37</v>
      </c>
      <c r="N78" s="175" t="s">
        <v>37</v>
      </c>
      <c r="O78" s="175" t="s">
        <v>37</v>
      </c>
      <c r="P78" s="175" t="s">
        <v>37</v>
      </c>
      <c r="Q78" s="175" t="s">
        <v>37</v>
      </c>
      <c r="R78" s="175" t="s">
        <v>37</v>
      </c>
      <c r="S78" s="175" t="s">
        <v>37</v>
      </c>
      <c r="T78" s="175" t="s">
        <v>37</v>
      </c>
      <c r="U78" s="175" t="s">
        <v>37</v>
      </c>
      <c r="V78" s="175" t="s">
        <v>37</v>
      </c>
      <c r="W78" s="175" t="s">
        <v>37</v>
      </c>
      <c r="X78" s="175" t="s">
        <v>37</v>
      </c>
      <c r="Y78" s="175" t="s">
        <v>37</v>
      </c>
      <c r="Z78" s="175" t="s">
        <v>37</v>
      </c>
      <c r="AA78" s="175" t="s">
        <v>37</v>
      </c>
      <c r="AB78" s="175" t="s">
        <v>37</v>
      </c>
      <c r="AC78" s="175" t="s">
        <v>37</v>
      </c>
      <c r="AD78" s="175" t="s">
        <v>37</v>
      </c>
      <c r="AE78" s="175" t="s">
        <v>37</v>
      </c>
      <c r="AF78" s="175" t="s">
        <v>37</v>
      </c>
      <c r="AG78" s="194">
        <v>1</v>
      </c>
      <c r="AH78" s="195"/>
      <c r="AI78" s="174"/>
      <c r="AJ78" s="132"/>
      <c r="AK78" s="132"/>
      <c r="AL78" s="132"/>
      <c r="AM78" s="132"/>
      <c r="AN78" s="132"/>
      <c r="AO78" s="139"/>
      <c r="AP78" s="132"/>
      <c r="AQ78" s="132"/>
      <c r="AR78" s="132"/>
      <c r="AS78" s="132"/>
      <c r="AT78" s="132"/>
      <c r="AU78" s="132"/>
      <c r="AV78" s="132"/>
      <c r="AW78" s="132"/>
      <c r="AX78" s="132"/>
      <c r="AY78" s="139"/>
      <c r="AZ78" s="132"/>
      <c r="BA78" s="132"/>
      <c r="BB78" s="132"/>
      <c r="BC78" s="132"/>
      <c r="BD78" s="132"/>
      <c r="BE78" s="132"/>
      <c r="BF78" s="132"/>
      <c r="BG78" s="132"/>
      <c r="BH78" s="132"/>
      <c r="BI78" s="132"/>
      <c r="BJ78" s="139"/>
      <c r="BK78" s="132"/>
      <c r="BL78" s="132"/>
      <c r="BM78" s="132"/>
      <c r="BN78" s="132"/>
      <c r="BO78" s="132"/>
      <c r="BP78" s="132"/>
      <c r="BQ78" s="132"/>
      <c r="BR78" s="132"/>
      <c r="BS78" s="132"/>
      <c r="BT78" s="132"/>
      <c r="BU78" s="132"/>
      <c r="BV78" s="132"/>
      <c r="BW78" s="132"/>
      <c r="BX78" s="132"/>
      <c r="BY78" s="139"/>
      <c r="BZ78" s="132"/>
      <c r="CA78" s="132"/>
      <c r="CB78" s="132"/>
      <c r="CC78" s="132"/>
      <c r="CD78" s="132"/>
      <c r="CE78" s="132"/>
      <c r="CF78" s="132"/>
      <c r="CG78" s="132"/>
      <c r="CH78" s="132"/>
      <c r="CI78" s="132"/>
      <c r="CJ78" s="139"/>
      <c r="CK78" s="132"/>
      <c r="CL78" s="132"/>
      <c r="CM78" s="132"/>
      <c r="CN78" s="132"/>
      <c r="CO78" s="132"/>
      <c r="CP78" s="132"/>
      <c r="CQ78" s="132"/>
      <c r="CR78" s="132"/>
      <c r="CS78" s="132"/>
      <c r="CT78" s="139"/>
      <c r="CU78" s="132"/>
      <c r="CV78" s="132"/>
      <c r="CW78" s="132"/>
      <c r="CX78" s="132"/>
      <c r="CY78" s="132"/>
      <c r="CZ78" s="132"/>
      <c r="DA78" s="132"/>
      <c r="DB78" s="132"/>
      <c r="DC78" s="132"/>
      <c r="DD78" s="132"/>
      <c r="DE78" s="132"/>
      <c r="DF78" s="132"/>
      <c r="DG78" s="132"/>
      <c r="DH78" s="139"/>
      <c r="DI78" s="109"/>
      <c r="DJ78" s="109"/>
      <c r="DK78" s="109"/>
      <c r="DL78" s="109"/>
      <c r="DM78" s="109"/>
      <c r="DN78" s="109"/>
      <c r="DO78" s="109"/>
      <c r="DP78" s="109"/>
      <c r="DQ78" s="109"/>
      <c r="DR78" s="109"/>
      <c r="DS78" s="109"/>
      <c r="DT78" s="109"/>
      <c r="DU78" s="109"/>
      <c r="DV78" s="139"/>
      <c r="DW78" s="109"/>
      <c r="DX78" s="109"/>
      <c r="DY78" s="109"/>
      <c r="DZ78" s="133"/>
      <c r="EA78" s="109"/>
      <c r="EB78" s="133"/>
      <c r="EC78" s="109"/>
      <c r="ED78" s="109"/>
      <c r="EE78" s="132"/>
      <c r="EF78" s="132"/>
      <c r="EG78" s="132"/>
      <c r="EH78" s="132"/>
      <c r="EI78" s="132"/>
      <c r="EJ78" s="132"/>
      <c r="EK78" s="5">
        <f t="shared" si="20"/>
        <v>1</v>
      </c>
      <c r="EL78" s="5">
        <v>1</v>
      </c>
      <c r="EM78" s="5">
        <f t="shared" si="21"/>
        <v>12</v>
      </c>
      <c r="EN78" s="153">
        <v>0</v>
      </c>
      <c r="EO78" s="7">
        <f t="shared" si="13"/>
        <v>11</v>
      </c>
      <c r="EP78" s="40" t="str">
        <f t="shared" si="14"/>
        <v/>
      </c>
      <c r="EQ78" s="41" t="str">
        <f t="shared" si="15"/>
        <v/>
      </c>
    </row>
    <row r="79" spans="1:147" x14ac:dyDescent="0.25">
      <c r="A79" s="129"/>
      <c r="B79" s="129"/>
      <c r="C79" s="130">
        <v>73</v>
      </c>
      <c r="D79" s="177"/>
      <c r="E79" s="175" t="s">
        <v>37</v>
      </c>
      <c r="F79" s="175" t="s">
        <v>37</v>
      </c>
      <c r="G79" s="175" t="s">
        <v>37</v>
      </c>
      <c r="H79" s="175" t="s">
        <v>37</v>
      </c>
      <c r="I79" s="175" t="s">
        <v>37</v>
      </c>
      <c r="J79" s="175" t="s">
        <v>37</v>
      </c>
      <c r="K79" s="175" t="s">
        <v>37</v>
      </c>
      <c r="L79" s="175" t="s">
        <v>37</v>
      </c>
      <c r="M79" s="175" t="s">
        <v>37</v>
      </c>
      <c r="N79" s="175" t="s">
        <v>37</v>
      </c>
      <c r="O79" s="175" t="s">
        <v>37</v>
      </c>
      <c r="P79" s="175" t="s">
        <v>37</v>
      </c>
      <c r="Q79" s="175" t="s">
        <v>37</v>
      </c>
      <c r="R79" s="175" t="s">
        <v>37</v>
      </c>
      <c r="S79" s="175" t="s">
        <v>37</v>
      </c>
      <c r="T79" s="175" t="s">
        <v>37</v>
      </c>
      <c r="U79" s="175" t="s">
        <v>37</v>
      </c>
      <c r="V79" s="175" t="s">
        <v>37</v>
      </c>
      <c r="W79" s="175" t="s">
        <v>37</v>
      </c>
      <c r="X79" s="175" t="s">
        <v>37</v>
      </c>
      <c r="Y79" s="175" t="s">
        <v>37</v>
      </c>
      <c r="Z79" s="175" t="s">
        <v>37</v>
      </c>
      <c r="AA79" s="175" t="s">
        <v>37</v>
      </c>
      <c r="AB79" s="175" t="s">
        <v>37</v>
      </c>
      <c r="AC79" s="175" t="s">
        <v>37</v>
      </c>
      <c r="AD79" s="175" t="s">
        <v>37</v>
      </c>
      <c r="AE79" s="175" t="s">
        <v>37</v>
      </c>
      <c r="AF79" s="175" t="s">
        <v>37</v>
      </c>
      <c r="AG79" s="194">
        <v>1</v>
      </c>
      <c r="AH79" s="195"/>
      <c r="AI79" s="174"/>
      <c r="AJ79" s="132"/>
      <c r="AK79" s="132"/>
      <c r="AL79" s="132"/>
      <c r="AM79" s="132"/>
      <c r="AN79" s="132"/>
      <c r="AO79" s="139"/>
      <c r="AP79" s="132"/>
      <c r="AQ79" s="132"/>
      <c r="AR79" s="132"/>
      <c r="AS79" s="132"/>
      <c r="AT79" s="132"/>
      <c r="AU79" s="132"/>
      <c r="AV79" s="132"/>
      <c r="AW79" s="132"/>
      <c r="AX79" s="132"/>
      <c r="AY79" s="139"/>
      <c r="AZ79" s="132"/>
      <c r="BA79" s="132"/>
      <c r="BB79" s="132"/>
      <c r="BC79" s="132"/>
      <c r="BD79" s="132"/>
      <c r="BE79" s="132"/>
      <c r="BF79" s="132"/>
      <c r="BG79" s="132"/>
      <c r="BH79" s="132"/>
      <c r="BI79" s="132"/>
      <c r="BJ79" s="139"/>
      <c r="BK79" s="132"/>
      <c r="BL79" s="132"/>
      <c r="BM79" s="132"/>
      <c r="BN79" s="132"/>
      <c r="BO79" s="132"/>
      <c r="BP79" s="132"/>
      <c r="BQ79" s="132"/>
      <c r="BR79" s="132"/>
      <c r="BS79" s="132"/>
      <c r="BT79" s="132"/>
      <c r="BU79" s="132"/>
      <c r="BV79" s="132"/>
      <c r="BW79" s="132"/>
      <c r="BX79" s="132"/>
      <c r="BY79" s="139"/>
      <c r="BZ79" s="132"/>
      <c r="CA79" s="132"/>
      <c r="CB79" s="132"/>
      <c r="CC79" s="132"/>
      <c r="CD79" s="132"/>
      <c r="CE79" s="132"/>
      <c r="CF79" s="132"/>
      <c r="CG79" s="132"/>
      <c r="CH79" s="132"/>
      <c r="CI79" s="132"/>
      <c r="CJ79" s="139"/>
      <c r="CK79" s="132"/>
      <c r="CL79" s="132"/>
      <c r="CM79" s="132"/>
      <c r="CN79" s="132"/>
      <c r="CO79" s="132"/>
      <c r="CP79" s="132"/>
      <c r="CQ79" s="132"/>
      <c r="CR79" s="132"/>
      <c r="CS79" s="132"/>
      <c r="CT79" s="139"/>
      <c r="CU79" s="132"/>
      <c r="CV79" s="132"/>
      <c r="CW79" s="132"/>
      <c r="CX79" s="132"/>
      <c r="CY79" s="132"/>
      <c r="CZ79" s="132"/>
      <c r="DA79" s="132"/>
      <c r="DB79" s="132"/>
      <c r="DC79" s="132"/>
      <c r="DD79" s="132"/>
      <c r="DE79" s="132"/>
      <c r="DF79" s="132"/>
      <c r="DG79" s="132"/>
      <c r="DH79" s="139"/>
      <c r="DI79" s="109"/>
      <c r="DJ79" s="109"/>
      <c r="DK79" s="109"/>
      <c r="DL79" s="109"/>
      <c r="DM79" s="109"/>
      <c r="DN79" s="109"/>
      <c r="DO79" s="109"/>
      <c r="DP79" s="109"/>
      <c r="DQ79" s="109"/>
      <c r="DR79" s="109"/>
      <c r="DS79" s="109"/>
      <c r="DT79" s="109"/>
      <c r="DU79" s="109"/>
      <c r="DV79" s="139"/>
      <c r="DW79" s="109"/>
      <c r="DX79" s="109"/>
      <c r="DY79" s="109"/>
      <c r="DZ79" s="133"/>
      <c r="EA79" s="109"/>
      <c r="EB79" s="133"/>
      <c r="EC79" s="109"/>
      <c r="ED79" s="109"/>
      <c r="EE79" s="132"/>
      <c r="EF79" s="132"/>
      <c r="EG79" s="132"/>
      <c r="EH79" s="132"/>
      <c r="EI79" s="132"/>
      <c r="EJ79" s="132"/>
      <c r="EK79" s="5">
        <f t="shared" ref="EK79:EK83" si="22">SUM(E79:EJ79)</f>
        <v>1</v>
      </c>
      <c r="EL79" s="5">
        <v>1</v>
      </c>
      <c r="EM79" s="5">
        <f t="shared" ref="EM79:EM83" si="23">EL79*12</f>
        <v>12</v>
      </c>
      <c r="EN79" s="153">
        <v>0</v>
      </c>
      <c r="EO79" s="7">
        <f t="shared" si="13"/>
        <v>11</v>
      </c>
      <c r="EP79" s="40" t="str">
        <f t="shared" si="14"/>
        <v/>
      </c>
      <c r="EQ79" s="41" t="str">
        <f t="shared" si="15"/>
        <v/>
      </c>
    </row>
    <row r="80" spans="1:147" x14ac:dyDescent="0.25">
      <c r="A80" s="129"/>
      <c r="B80" s="129"/>
      <c r="C80" s="130">
        <v>74</v>
      </c>
      <c r="D80" s="177"/>
      <c r="E80" s="175" t="s">
        <v>37</v>
      </c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  <c r="V80" s="175"/>
      <c r="W80" s="175"/>
      <c r="X80" s="175"/>
      <c r="Y80" s="175"/>
      <c r="Z80" s="175"/>
      <c r="AA80" s="175"/>
      <c r="AB80" s="175"/>
      <c r="AC80" s="175"/>
      <c r="AD80" s="174"/>
      <c r="AE80" s="194"/>
      <c r="AF80" s="194"/>
      <c r="AG80" s="194"/>
      <c r="AH80" s="195"/>
      <c r="AI80" s="174"/>
      <c r="AJ80" s="132"/>
      <c r="AK80" s="132"/>
      <c r="AL80" s="132"/>
      <c r="AM80" s="132"/>
      <c r="AN80" s="132"/>
      <c r="AO80" s="139"/>
      <c r="AP80" s="132"/>
      <c r="AQ80" s="132"/>
      <c r="AR80" s="132"/>
      <c r="AS80" s="132"/>
      <c r="AT80" s="132"/>
      <c r="AU80" s="132"/>
      <c r="AV80" s="132"/>
      <c r="AW80" s="132"/>
      <c r="AX80" s="132"/>
      <c r="AY80" s="139"/>
      <c r="AZ80" s="132"/>
      <c r="BA80" s="132"/>
      <c r="BB80" s="132"/>
      <c r="BC80" s="132"/>
      <c r="BD80" s="132"/>
      <c r="BE80" s="132"/>
      <c r="BF80" s="132"/>
      <c r="BG80" s="132"/>
      <c r="BH80" s="132"/>
      <c r="BI80" s="132"/>
      <c r="BJ80" s="139"/>
      <c r="BK80" s="132"/>
      <c r="BL80" s="132"/>
      <c r="BM80" s="132"/>
      <c r="BN80" s="132"/>
      <c r="BO80" s="132"/>
      <c r="BP80" s="132"/>
      <c r="BQ80" s="132"/>
      <c r="BR80" s="132"/>
      <c r="BS80" s="132"/>
      <c r="BT80" s="132"/>
      <c r="BU80" s="132"/>
      <c r="BV80" s="132"/>
      <c r="BW80" s="132"/>
      <c r="BX80" s="132"/>
      <c r="BY80" s="139"/>
      <c r="BZ80" s="132"/>
      <c r="CA80" s="132"/>
      <c r="CB80" s="132"/>
      <c r="CC80" s="132"/>
      <c r="CD80" s="132"/>
      <c r="CE80" s="132"/>
      <c r="CF80" s="132"/>
      <c r="CG80" s="132"/>
      <c r="CH80" s="132"/>
      <c r="CI80" s="132"/>
      <c r="CJ80" s="139"/>
      <c r="CK80" s="132"/>
      <c r="CL80" s="132"/>
      <c r="CM80" s="132"/>
      <c r="CN80" s="132"/>
      <c r="CO80" s="132"/>
      <c r="CP80" s="132"/>
      <c r="CQ80" s="132"/>
      <c r="CR80" s="132"/>
      <c r="CS80" s="132"/>
      <c r="CT80" s="139"/>
      <c r="CU80" s="132"/>
      <c r="CV80" s="132"/>
      <c r="CW80" s="132"/>
      <c r="CX80" s="132"/>
      <c r="CY80" s="132"/>
      <c r="CZ80" s="132"/>
      <c r="DA80" s="132"/>
      <c r="DB80" s="132"/>
      <c r="DC80" s="132"/>
      <c r="DD80" s="132"/>
      <c r="DE80" s="132"/>
      <c r="DF80" s="132"/>
      <c r="DG80" s="132"/>
      <c r="DH80" s="139"/>
      <c r="DI80" s="109"/>
      <c r="DJ80" s="109"/>
      <c r="DK80" s="109"/>
      <c r="DL80" s="109"/>
      <c r="DM80" s="109"/>
      <c r="DN80" s="109"/>
      <c r="DO80" s="109"/>
      <c r="DP80" s="109"/>
      <c r="DQ80" s="109"/>
      <c r="DR80" s="109"/>
      <c r="DS80" s="109"/>
      <c r="DT80" s="109"/>
      <c r="DU80" s="109"/>
      <c r="DV80" s="139"/>
      <c r="DW80" s="109"/>
      <c r="DX80" s="109"/>
      <c r="DY80" s="109"/>
      <c r="DZ80" s="133"/>
      <c r="EA80" s="109"/>
      <c r="EB80" s="133"/>
      <c r="EC80" s="109"/>
      <c r="ED80" s="109"/>
      <c r="EE80" s="132"/>
      <c r="EF80" s="132"/>
      <c r="EG80" s="132"/>
      <c r="EH80" s="132"/>
      <c r="EI80" s="132"/>
      <c r="EJ80" s="132"/>
      <c r="EK80" s="5">
        <f t="shared" si="22"/>
        <v>0</v>
      </c>
      <c r="EL80" s="5">
        <v>1</v>
      </c>
      <c r="EM80" s="5">
        <f t="shared" si="23"/>
        <v>12</v>
      </c>
      <c r="EN80" s="153">
        <v>0</v>
      </c>
      <c r="EO80" s="7">
        <f t="shared" si="13"/>
        <v>12</v>
      </c>
      <c r="EP80" s="40" t="str">
        <f t="shared" si="14"/>
        <v/>
      </c>
      <c r="EQ80" s="41" t="str">
        <f t="shared" si="15"/>
        <v/>
      </c>
    </row>
    <row r="81" spans="1:147" x14ac:dyDescent="0.25">
      <c r="A81" s="129"/>
      <c r="B81" s="129"/>
      <c r="C81" s="130">
        <v>75</v>
      </c>
      <c r="D81" s="177"/>
      <c r="E81" s="175" t="s">
        <v>37</v>
      </c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  <c r="V81" s="175"/>
      <c r="W81" s="175"/>
      <c r="X81" s="175"/>
      <c r="Y81" s="175"/>
      <c r="Z81" s="175"/>
      <c r="AA81" s="175"/>
      <c r="AB81" s="175"/>
      <c r="AC81" s="175"/>
      <c r="AD81" s="174"/>
      <c r="AE81" s="194"/>
      <c r="AF81" s="194"/>
      <c r="AG81" s="194"/>
      <c r="AH81" s="195"/>
      <c r="AI81" s="174"/>
      <c r="AJ81" s="132"/>
      <c r="AK81" s="132"/>
      <c r="AL81" s="132"/>
      <c r="AM81" s="132"/>
      <c r="AN81" s="132"/>
      <c r="AO81" s="139"/>
      <c r="AP81" s="132"/>
      <c r="AQ81" s="132"/>
      <c r="AR81" s="132"/>
      <c r="AS81" s="132"/>
      <c r="AT81" s="132"/>
      <c r="AU81" s="132"/>
      <c r="AV81" s="132"/>
      <c r="AW81" s="132"/>
      <c r="AX81" s="132"/>
      <c r="AY81" s="139"/>
      <c r="AZ81" s="132"/>
      <c r="BA81" s="132"/>
      <c r="BB81" s="132"/>
      <c r="BC81" s="132"/>
      <c r="BD81" s="132"/>
      <c r="BE81" s="132"/>
      <c r="BF81" s="132"/>
      <c r="BG81" s="132"/>
      <c r="BH81" s="132"/>
      <c r="BI81" s="132"/>
      <c r="BJ81" s="139"/>
      <c r="BK81" s="132"/>
      <c r="BL81" s="132"/>
      <c r="BM81" s="132"/>
      <c r="BN81" s="132"/>
      <c r="BO81" s="132"/>
      <c r="BP81" s="132"/>
      <c r="BQ81" s="132"/>
      <c r="BR81" s="132"/>
      <c r="BS81" s="132"/>
      <c r="BT81" s="132"/>
      <c r="BU81" s="132"/>
      <c r="BV81" s="132"/>
      <c r="BW81" s="132"/>
      <c r="BX81" s="132"/>
      <c r="BY81" s="139"/>
      <c r="BZ81" s="132"/>
      <c r="CA81" s="132"/>
      <c r="CB81" s="132"/>
      <c r="CC81" s="132"/>
      <c r="CD81" s="132"/>
      <c r="CE81" s="132"/>
      <c r="CF81" s="132"/>
      <c r="CG81" s="132"/>
      <c r="CH81" s="132"/>
      <c r="CI81" s="132"/>
      <c r="CJ81" s="139"/>
      <c r="CK81" s="132"/>
      <c r="CL81" s="132"/>
      <c r="CM81" s="132"/>
      <c r="CN81" s="132"/>
      <c r="CO81" s="132"/>
      <c r="CP81" s="132"/>
      <c r="CQ81" s="132"/>
      <c r="CR81" s="132"/>
      <c r="CS81" s="132"/>
      <c r="CT81" s="139"/>
      <c r="CU81" s="132"/>
      <c r="CV81" s="132"/>
      <c r="CW81" s="132"/>
      <c r="CX81" s="132"/>
      <c r="CY81" s="132"/>
      <c r="CZ81" s="132"/>
      <c r="DA81" s="132"/>
      <c r="DB81" s="132"/>
      <c r="DC81" s="132"/>
      <c r="DD81" s="132"/>
      <c r="DE81" s="132"/>
      <c r="DF81" s="132"/>
      <c r="DG81" s="132"/>
      <c r="DH81" s="139"/>
      <c r="DI81" s="109"/>
      <c r="DJ81" s="109"/>
      <c r="DK81" s="109"/>
      <c r="DL81" s="109"/>
      <c r="DM81" s="109"/>
      <c r="DN81" s="109"/>
      <c r="DO81" s="109"/>
      <c r="DP81" s="109"/>
      <c r="DQ81" s="109"/>
      <c r="DR81" s="109"/>
      <c r="DS81" s="109"/>
      <c r="DT81" s="109"/>
      <c r="DU81" s="109"/>
      <c r="DV81" s="139"/>
      <c r="DW81" s="109"/>
      <c r="DX81" s="109"/>
      <c r="DY81" s="109"/>
      <c r="DZ81" s="133"/>
      <c r="EA81" s="109"/>
      <c r="EB81" s="133"/>
      <c r="EC81" s="109"/>
      <c r="ED81" s="109"/>
      <c r="EE81" s="132"/>
      <c r="EF81" s="132"/>
      <c r="EG81" s="132"/>
      <c r="EH81" s="132"/>
      <c r="EI81" s="132"/>
      <c r="EJ81" s="132"/>
      <c r="EK81" s="5">
        <f t="shared" si="22"/>
        <v>0</v>
      </c>
      <c r="EL81" s="5">
        <v>1</v>
      </c>
      <c r="EM81" s="5">
        <f t="shared" si="23"/>
        <v>12</v>
      </c>
      <c r="EN81" s="153">
        <v>0</v>
      </c>
      <c r="EO81" s="7">
        <f t="shared" si="13"/>
        <v>12</v>
      </c>
      <c r="EP81" s="40" t="str">
        <f t="shared" si="14"/>
        <v/>
      </c>
      <c r="EQ81" s="41" t="str">
        <f t="shared" si="15"/>
        <v/>
      </c>
    </row>
    <row r="82" spans="1:147" x14ac:dyDescent="0.25">
      <c r="A82" s="129"/>
      <c r="B82" s="129"/>
      <c r="C82" s="130">
        <v>76</v>
      </c>
      <c r="D82" s="177"/>
      <c r="E82" s="175" t="s">
        <v>37</v>
      </c>
      <c r="F82" s="175"/>
      <c r="G82" s="175"/>
      <c r="H82" s="175"/>
      <c r="I82" s="175"/>
      <c r="J82" s="175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5"/>
      <c r="V82" s="175"/>
      <c r="W82" s="175"/>
      <c r="X82" s="175"/>
      <c r="Y82" s="175"/>
      <c r="Z82" s="175"/>
      <c r="AA82" s="175"/>
      <c r="AB82" s="175"/>
      <c r="AC82" s="175"/>
      <c r="AD82" s="174"/>
      <c r="AE82" s="194"/>
      <c r="AF82" s="194"/>
      <c r="AG82" s="194"/>
      <c r="AH82" s="195"/>
      <c r="AI82" s="174"/>
      <c r="AJ82" s="132"/>
      <c r="AK82" s="132"/>
      <c r="AL82" s="132"/>
      <c r="AM82" s="132"/>
      <c r="AN82" s="132"/>
      <c r="AO82" s="139"/>
      <c r="AP82" s="132"/>
      <c r="AQ82" s="132"/>
      <c r="AR82" s="132"/>
      <c r="AS82" s="132"/>
      <c r="AT82" s="132"/>
      <c r="AU82" s="132"/>
      <c r="AV82" s="132"/>
      <c r="AW82" s="132"/>
      <c r="AX82" s="132"/>
      <c r="AY82" s="139"/>
      <c r="AZ82" s="132"/>
      <c r="BA82" s="132"/>
      <c r="BB82" s="132"/>
      <c r="BC82" s="132"/>
      <c r="BD82" s="132"/>
      <c r="BE82" s="132"/>
      <c r="BF82" s="132"/>
      <c r="BG82" s="132"/>
      <c r="BH82" s="132"/>
      <c r="BI82" s="132"/>
      <c r="BJ82" s="139"/>
      <c r="BK82" s="132"/>
      <c r="BL82" s="132"/>
      <c r="BM82" s="132"/>
      <c r="BN82" s="132"/>
      <c r="BO82" s="132"/>
      <c r="BP82" s="132"/>
      <c r="BQ82" s="132"/>
      <c r="BR82" s="132"/>
      <c r="BS82" s="132"/>
      <c r="BT82" s="132"/>
      <c r="BU82" s="132"/>
      <c r="BV82" s="132"/>
      <c r="BW82" s="132"/>
      <c r="BX82" s="132"/>
      <c r="BY82" s="139"/>
      <c r="BZ82" s="132"/>
      <c r="CA82" s="132"/>
      <c r="CB82" s="132"/>
      <c r="CC82" s="132"/>
      <c r="CD82" s="132"/>
      <c r="CE82" s="132"/>
      <c r="CF82" s="132"/>
      <c r="CG82" s="132"/>
      <c r="CH82" s="132"/>
      <c r="CI82" s="132"/>
      <c r="CJ82" s="139"/>
      <c r="CK82" s="132"/>
      <c r="CL82" s="132"/>
      <c r="CM82" s="132"/>
      <c r="CN82" s="132"/>
      <c r="CO82" s="132"/>
      <c r="CP82" s="132"/>
      <c r="CQ82" s="132"/>
      <c r="CR82" s="132"/>
      <c r="CS82" s="132"/>
      <c r="CT82" s="139"/>
      <c r="CU82" s="132"/>
      <c r="CV82" s="132"/>
      <c r="CW82" s="132"/>
      <c r="CX82" s="132"/>
      <c r="CY82" s="132"/>
      <c r="CZ82" s="132"/>
      <c r="DA82" s="132"/>
      <c r="DB82" s="132"/>
      <c r="DC82" s="132"/>
      <c r="DD82" s="132"/>
      <c r="DE82" s="132"/>
      <c r="DF82" s="132"/>
      <c r="DG82" s="132"/>
      <c r="DH82" s="139"/>
      <c r="DI82" s="109"/>
      <c r="DJ82" s="109"/>
      <c r="DK82" s="109"/>
      <c r="DL82" s="109"/>
      <c r="DM82" s="109"/>
      <c r="DN82" s="109"/>
      <c r="DO82" s="109"/>
      <c r="DP82" s="109"/>
      <c r="DQ82" s="109"/>
      <c r="DR82" s="109"/>
      <c r="DS82" s="109"/>
      <c r="DT82" s="109"/>
      <c r="DU82" s="109"/>
      <c r="DV82" s="139"/>
      <c r="DW82" s="109"/>
      <c r="DX82" s="109"/>
      <c r="DY82" s="109"/>
      <c r="DZ82" s="133"/>
      <c r="EA82" s="109"/>
      <c r="EB82" s="133"/>
      <c r="EC82" s="109"/>
      <c r="ED82" s="109"/>
      <c r="EE82" s="132"/>
      <c r="EF82" s="132"/>
      <c r="EG82" s="132"/>
      <c r="EH82" s="132"/>
      <c r="EI82" s="132"/>
      <c r="EJ82" s="132"/>
      <c r="EK82" s="5">
        <f t="shared" si="22"/>
        <v>0</v>
      </c>
      <c r="EL82" s="5">
        <v>1</v>
      </c>
      <c r="EM82" s="5">
        <f t="shared" si="23"/>
        <v>12</v>
      </c>
      <c r="EN82" s="153">
        <v>0</v>
      </c>
      <c r="EO82" s="7">
        <f t="shared" si="13"/>
        <v>12</v>
      </c>
      <c r="EP82" s="40" t="str">
        <f t="shared" si="14"/>
        <v/>
      </c>
      <c r="EQ82" s="41" t="str">
        <f t="shared" si="15"/>
        <v/>
      </c>
    </row>
    <row r="83" spans="1:147" x14ac:dyDescent="0.25">
      <c r="A83" s="129"/>
      <c r="B83" s="129"/>
      <c r="C83" s="130">
        <v>77</v>
      </c>
      <c r="D83" s="177"/>
      <c r="E83" s="175" t="s">
        <v>37</v>
      </c>
      <c r="F83" s="175"/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5"/>
      <c r="V83" s="175"/>
      <c r="W83" s="175"/>
      <c r="X83" s="175"/>
      <c r="Y83" s="175"/>
      <c r="Z83" s="175"/>
      <c r="AA83" s="175"/>
      <c r="AB83" s="175"/>
      <c r="AC83" s="175"/>
      <c r="AD83" s="174"/>
      <c r="AE83" s="194"/>
      <c r="AF83" s="194"/>
      <c r="AG83" s="194"/>
      <c r="AH83" s="195"/>
      <c r="AI83" s="174"/>
      <c r="AJ83" s="132"/>
      <c r="AK83" s="132"/>
      <c r="AL83" s="132"/>
      <c r="AM83" s="132"/>
      <c r="AN83" s="132"/>
      <c r="AO83" s="139"/>
      <c r="AP83" s="132"/>
      <c r="AQ83" s="132"/>
      <c r="AR83" s="132"/>
      <c r="AS83" s="132"/>
      <c r="AT83" s="132"/>
      <c r="AU83" s="132"/>
      <c r="AV83" s="132"/>
      <c r="AW83" s="132"/>
      <c r="AX83" s="132"/>
      <c r="AY83" s="139"/>
      <c r="AZ83" s="132"/>
      <c r="BA83" s="132"/>
      <c r="BB83" s="132"/>
      <c r="BC83" s="132"/>
      <c r="BD83" s="132"/>
      <c r="BE83" s="132"/>
      <c r="BF83" s="132"/>
      <c r="BG83" s="132"/>
      <c r="BH83" s="132"/>
      <c r="BI83" s="132"/>
      <c r="BJ83" s="139"/>
      <c r="BK83" s="132"/>
      <c r="BL83" s="132"/>
      <c r="BM83" s="132"/>
      <c r="BN83" s="132"/>
      <c r="BO83" s="132"/>
      <c r="BP83" s="132"/>
      <c r="BQ83" s="132"/>
      <c r="BR83" s="132"/>
      <c r="BS83" s="132"/>
      <c r="BT83" s="132"/>
      <c r="BU83" s="132"/>
      <c r="BV83" s="132"/>
      <c r="BW83" s="132"/>
      <c r="BX83" s="132"/>
      <c r="BY83" s="139"/>
      <c r="BZ83" s="132"/>
      <c r="CA83" s="132"/>
      <c r="CB83" s="132"/>
      <c r="CC83" s="132"/>
      <c r="CD83" s="132"/>
      <c r="CE83" s="132"/>
      <c r="CF83" s="132"/>
      <c r="CG83" s="132"/>
      <c r="CH83" s="132"/>
      <c r="CI83" s="132"/>
      <c r="CJ83" s="139"/>
      <c r="CK83" s="132"/>
      <c r="CL83" s="132"/>
      <c r="CM83" s="132"/>
      <c r="CN83" s="132"/>
      <c r="CO83" s="132"/>
      <c r="CP83" s="132"/>
      <c r="CQ83" s="132"/>
      <c r="CR83" s="132"/>
      <c r="CS83" s="132"/>
      <c r="CT83" s="139"/>
      <c r="CU83" s="132"/>
      <c r="CV83" s="132"/>
      <c r="CW83" s="132"/>
      <c r="CX83" s="132"/>
      <c r="CY83" s="132"/>
      <c r="CZ83" s="132"/>
      <c r="DA83" s="132"/>
      <c r="DB83" s="132"/>
      <c r="DC83" s="132"/>
      <c r="DD83" s="132"/>
      <c r="DE83" s="132"/>
      <c r="DF83" s="132"/>
      <c r="DG83" s="132"/>
      <c r="DH83" s="139"/>
      <c r="DI83" s="109"/>
      <c r="DJ83" s="109"/>
      <c r="DK83" s="109"/>
      <c r="DL83" s="109"/>
      <c r="DM83" s="109"/>
      <c r="DN83" s="109"/>
      <c r="DO83" s="109"/>
      <c r="DP83" s="109"/>
      <c r="DQ83" s="109"/>
      <c r="DR83" s="109"/>
      <c r="DS83" s="109"/>
      <c r="DT83" s="109"/>
      <c r="DU83" s="109"/>
      <c r="DV83" s="139"/>
      <c r="DW83" s="109"/>
      <c r="DX83" s="109"/>
      <c r="DY83" s="109"/>
      <c r="DZ83" s="133"/>
      <c r="EA83" s="109"/>
      <c r="EB83" s="133"/>
      <c r="EC83" s="109"/>
      <c r="ED83" s="109"/>
      <c r="EE83" s="132"/>
      <c r="EF83" s="132"/>
      <c r="EG83" s="132"/>
      <c r="EH83" s="132"/>
      <c r="EI83" s="132"/>
      <c r="EJ83" s="132"/>
      <c r="EK83" s="5">
        <f t="shared" si="22"/>
        <v>0</v>
      </c>
      <c r="EL83" s="5">
        <v>1</v>
      </c>
      <c r="EM83" s="5">
        <f t="shared" si="23"/>
        <v>12</v>
      </c>
      <c r="EN83" s="153">
        <v>0</v>
      </c>
      <c r="EO83" s="7">
        <f t="shared" si="13"/>
        <v>12</v>
      </c>
      <c r="EP83" s="40" t="str">
        <f t="shared" si="14"/>
        <v/>
      </c>
      <c r="EQ83" s="41" t="str">
        <f t="shared" si="15"/>
        <v/>
      </c>
    </row>
    <row r="84" spans="1:147" x14ac:dyDescent="0.25">
      <c r="E84" s="1">
        <f t="shared" ref="E84:AJ84" si="24">SUM(E7:E83)</f>
        <v>20</v>
      </c>
      <c r="F84" s="1">
        <f t="shared" si="24"/>
        <v>36</v>
      </c>
      <c r="G84" s="1">
        <f t="shared" si="24"/>
        <v>22</v>
      </c>
      <c r="H84" s="1">
        <f t="shared" si="24"/>
        <v>27</v>
      </c>
      <c r="I84" s="1">
        <f t="shared" si="24"/>
        <v>33</v>
      </c>
      <c r="J84" s="1">
        <f t="shared" si="24"/>
        <v>39</v>
      </c>
      <c r="K84" s="1">
        <f t="shared" si="24"/>
        <v>36</v>
      </c>
      <c r="L84" s="1">
        <f t="shared" si="24"/>
        <v>34</v>
      </c>
      <c r="M84" s="1">
        <f t="shared" si="24"/>
        <v>37</v>
      </c>
      <c r="N84" s="1">
        <f t="shared" si="24"/>
        <v>37</v>
      </c>
      <c r="O84" s="1">
        <f t="shared" si="24"/>
        <v>34</v>
      </c>
      <c r="P84" s="1">
        <f t="shared" si="24"/>
        <v>29</v>
      </c>
      <c r="Q84" s="1">
        <f t="shared" si="24"/>
        <v>2</v>
      </c>
      <c r="R84" s="1">
        <f t="shared" si="24"/>
        <v>19</v>
      </c>
      <c r="S84" s="1">
        <f t="shared" si="24"/>
        <v>20</v>
      </c>
      <c r="T84" s="1">
        <f t="shared" si="24"/>
        <v>31</v>
      </c>
      <c r="U84" s="1">
        <f t="shared" si="24"/>
        <v>23</v>
      </c>
      <c r="V84" s="1">
        <f t="shared" si="24"/>
        <v>29</v>
      </c>
      <c r="W84" s="1">
        <f t="shared" si="24"/>
        <v>45</v>
      </c>
      <c r="X84" s="1">
        <f t="shared" si="24"/>
        <v>40</v>
      </c>
      <c r="Y84" s="1">
        <f t="shared" si="24"/>
        <v>40</v>
      </c>
      <c r="Z84" s="1">
        <f t="shared" si="24"/>
        <v>49</v>
      </c>
      <c r="AA84" s="1">
        <f t="shared" si="24"/>
        <v>49</v>
      </c>
      <c r="AB84" s="1">
        <f t="shared" si="24"/>
        <v>47</v>
      </c>
      <c r="AC84" s="1">
        <f t="shared" si="24"/>
        <v>45</v>
      </c>
      <c r="AD84" s="1">
        <f t="shared" si="24"/>
        <v>52</v>
      </c>
      <c r="AE84" s="1">
        <f t="shared" si="24"/>
        <v>48</v>
      </c>
      <c r="AF84" s="1">
        <f t="shared" si="24"/>
        <v>49</v>
      </c>
      <c r="AG84" s="1">
        <f t="shared" si="24"/>
        <v>47</v>
      </c>
      <c r="AH84" s="1">
        <f t="shared" si="24"/>
        <v>0</v>
      </c>
      <c r="AI84" s="1">
        <f t="shared" si="24"/>
        <v>0</v>
      </c>
      <c r="AJ84" s="1">
        <f t="shared" si="24"/>
        <v>0</v>
      </c>
      <c r="AK84" s="1">
        <f t="shared" ref="AK84:BP84" si="25">SUM(AK7:AK83)</f>
        <v>0</v>
      </c>
      <c r="AL84" s="1">
        <f t="shared" si="25"/>
        <v>0</v>
      </c>
      <c r="AM84" s="1">
        <f t="shared" si="25"/>
        <v>0</v>
      </c>
      <c r="AN84" s="1">
        <f t="shared" si="25"/>
        <v>0</v>
      </c>
      <c r="AO84" s="1">
        <f t="shared" si="25"/>
        <v>0</v>
      </c>
      <c r="AP84" s="1">
        <f t="shared" si="25"/>
        <v>0</v>
      </c>
      <c r="AQ84" s="1">
        <f t="shared" si="25"/>
        <v>0</v>
      </c>
      <c r="AR84" s="1">
        <f t="shared" si="25"/>
        <v>0</v>
      </c>
      <c r="AS84" s="1">
        <f t="shared" si="25"/>
        <v>0</v>
      </c>
      <c r="AT84" s="1">
        <f t="shared" si="25"/>
        <v>0</v>
      </c>
      <c r="AU84" s="1">
        <f t="shared" si="25"/>
        <v>0</v>
      </c>
      <c r="AV84" s="1">
        <f t="shared" si="25"/>
        <v>0</v>
      </c>
      <c r="AW84" s="1">
        <f t="shared" si="25"/>
        <v>0</v>
      </c>
      <c r="AX84" s="1">
        <f t="shared" si="25"/>
        <v>0</v>
      </c>
      <c r="AY84" s="1">
        <f t="shared" si="25"/>
        <v>0</v>
      </c>
      <c r="AZ84" s="1">
        <f t="shared" si="25"/>
        <v>0</v>
      </c>
      <c r="BA84" s="1">
        <f t="shared" si="25"/>
        <v>0</v>
      </c>
      <c r="BB84" s="1">
        <f t="shared" si="25"/>
        <v>0</v>
      </c>
      <c r="BC84" s="1">
        <f t="shared" si="25"/>
        <v>0</v>
      </c>
      <c r="BD84" s="1">
        <f t="shared" si="25"/>
        <v>0</v>
      </c>
      <c r="BE84" s="1">
        <f t="shared" si="25"/>
        <v>0</v>
      </c>
      <c r="BF84" s="1">
        <f t="shared" si="25"/>
        <v>0</v>
      </c>
      <c r="BG84" s="1">
        <f t="shared" si="25"/>
        <v>0</v>
      </c>
      <c r="BH84" s="1">
        <f t="shared" si="25"/>
        <v>0</v>
      </c>
      <c r="BI84" s="1">
        <f t="shared" si="25"/>
        <v>0</v>
      </c>
      <c r="BJ84" s="1">
        <f t="shared" si="25"/>
        <v>0</v>
      </c>
      <c r="BK84" s="1">
        <f t="shared" si="25"/>
        <v>0</v>
      </c>
      <c r="BL84" s="1">
        <f t="shared" si="25"/>
        <v>0</v>
      </c>
      <c r="BM84" s="1">
        <f t="shared" si="25"/>
        <v>0</v>
      </c>
      <c r="BN84" s="1">
        <f t="shared" si="25"/>
        <v>0</v>
      </c>
      <c r="BO84" s="1">
        <f t="shared" si="25"/>
        <v>0</v>
      </c>
      <c r="BP84" s="1">
        <f t="shared" si="25"/>
        <v>0</v>
      </c>
      <c r="BQ84" s="1">
        <f t="shared" ref="BQ84:CV84" si="26">SUM(BQ7:BQ83)</f>
        <v>0</v>
      </c>
      <c r="BR84" s="1">
        <f t="shared" si="26"/>
        <v>0</v>
      </c>
      <c r="BS84" s="1">
        <f t="shared" si="26"/>
        <v>0</v>
      </c>
      <c r="BT84" s="1">
        <f t="shared" si="26"/>
        <v>0</v>
      </c>
      <c r="BU84" s="1">
        <f t="shared" si="26"/>
        <v>0</v>
      </c>
      <c r="BV84" s="1">
        <f t="shared" si="26"/>
        <v>0</v>
      </c>
      <c r="BW84" s="1">
        <f t="shared" si="26"/>
        <v>0</v>
      </c>
      <c r="BX84" s="1">
        <f t="shared" si="26"/>
        <v>0</v>
      </c>
      <c r="BZ84" s="1">
        <f t="shared" ref="BZ84:CI84" si="27">SUM(BZ7:BZ83)</f>
        <v>0</v>
      </c>
      <c r="CA84" s="1">
        <f t="shared" si="27"/>
        <v>0</v>
      </c>
      <c r="CB84" s="1">
        <f t="shared" si="27"/>
        <v>0</v>
      </c>
      <c r="CC84" s="1">
        <f t="shared" si="27"/>
        <v>0</v>
      </c>
      <c r="CD84" s="1">
        <f t="shared" si="27"/>
        <v>0</v>
      </c>
      <c r="CE84" s="1">
        <f t="shared" si="27"/>
        <v>0</v>
      </c>
      <c r="CF84" s="1">
        <f t="shared" si="27"/>
        <v>0</v>
      </c>
      <c r="CG84" s="1">
        <f t="shared" si="27"/>
        <v>0</v>
      </c>
      <c r="CH84" s="1">
        <f t="shared" si="27"/>
        <v>0</v>
      </c>
      <c r="CI84" s="1">
        <f t="shared" si="27"/>
        <v>0</v>
      </c>
      <c r="CK84" s="1">
        <f t="shared" ref="CK84:CS84" si="28">SUM(CK7:CK83)</f>
        <v>0</v>
      </c>
      <c r="CL84" s="1">
        <f t="shared" si="28"/>
        <v>0</v>
      </c>
      <c r="CM84" s="1">
        <f t="shared" si="28"/>
        <v>0</v>
      </c>
      <c r="CN84" s="1">
        <f t="shared" si="28"/>
        <v>0</v>
      </c>
      <c r="CO84" s="1">
        <f t="shared" si="28"/>
        <v>0</v>
      </c>
      <c r="CP84" s="1">
        <f t="shared" si="28"/>
        <v>0</v>
      </c>
      <c r="CQ84" s="1">
        <f t="shared" si="28"/>
        <v>0</v>
      </c>
      <c r="CR84" s="1">
        <f t="shared" si="28"/>
        <v>0</v>
      </c>
      <c r="CS84" s="1">
        <f t="shared" si="28"/>
        <v>0</v>
      </c>
      <c r="CU84" s="1">
        <f t="shared" ref="CU84:DG84" si="29">SUM(CU7:CU83)</f>
        <v>0</v>
      </c>
      <c r="CV84" s="1">
        <f t="shared" si="29"/>
        <v>0</v>
      </c>
      <c r="CW84" s="1">
        <f t="shared" si="29"/>
        <v>0</v>
      </c>
      <c r="CX84" s="1">
        <f t="shared" si="29"/>
        <v>0</v>
      </c>
      <c r="CY84" s="1">
        <f t="shared" si="29"/>
        <v>0</v>
      </c>
      <c r="CZ84" s="1">
        <f t="shared" si="29"/>
        <v>0</v>
      </c>
      <c r="DA84" s="1">
        <f t="shared" si="29"/>
        <v>0</v>
      </c>
      <c r="DB84" s="1">
        <f t="shared" si="29"/>
        <v>0</v>
      </c>
      <c r="DC84" s="1">
        <f t="shared" si="29"/>
        <v>0</v>
      </c>
      <c r="DD84" s="1">
        <f t="shared" si="29"/>
        <v>0</v>
      </c>
      <c r="DE84" s="1">
        <f t="shared" si="29"/>
        <v>0</v>
      </c>
      <c r="DF84" s="1">
        <f t="shared" si="29"/>
        <v>0</v>
      </c>
      <c r="DG84" s="1">
        <f t="shared" si="29"/>
        <v>0</v>
      </c>
      <c r="DI84" s="108">
        <f t="shared" ref="DI84:EJ84" si="30">SUM(DI7:DI83)</f>
        <v>0</v>
      </c>
      <c r="DJ84" s="108">
        <f t="shared" si="30"/>
        <v>0</v>
      </c>
      <c r="DK84" s="1">
        <f t="shared" si="30"/>
        <v>0</v>
      </c>
      <c r="DL84" s="1">
        <f t="shared" si="30"/>
        <v>0</v>
      </c>
      <c r="DM84" s="1">
        <f t="shared" si="30"/>
        <v>0</v>
      </c>
      <c r="DN84" s="1">
        <f t="shared" si="30"/>
        <v>0</v>
      </c>
      <c r="DO84" s="1">
        <f t="shared" si="30"/>
        <v>0</v>
      </c>
      <c r="DP84" s="1">
        <f t="shared" si="30"/>
        <v>0</v>
      </c>
      <c r="DQ84" s="1">
        <f t="shared" si="30"/>
        <v>0</v>
      </c>
      <c r="DR84" s="1">
        <f t="shared" si="30"/>
        <v>0</v>
      </c>
      <c r="DS84" s="1">
        <f t="shared" si="30"/>
        <v>0</v>
      </c>
      <c r="DT84" s="1">
        <f t="shared" si="30"/>
        <v>0</v>
      </c>
      <c r="DU84" s="1">
        <f t="shared" si="30"/>
        <v>0</v>
      </c>
      <c r="DV84" s="1">
        <f t="shared" si="30"/>
        <v>0</v>
      </c>
      <c r="DW84" s="108">
        <f t="shared" si="30"/>
        <v>0</v>
      </c>
      <c r="DX84" s="108">
        <f t="shared" si="30"/>
        <v>0</v>
      </c>
      <c r="DY84" s="1">
        <f t="shared" si="30"/>
        <v>0</v>
      </c>
      <c r="DZ84" s="1">
        <f t="shared" si="30"/>
        <v>0</v>
      </c>
      <c r="EA84" s="1">
        <f t="shared" si="30"/>
        <v>0</v>
      </c>
      <c r="EB84" s="1">
        <f t="shared" si="30"/>
        <v>0</v>
      </c>
      <c r="EC84" s="1">
        <f t="shared" si="30"/>
        <v>0</v>
      </c>
      <c r="ED84" s="1">
        <f t="shared" si="30"/>
        <v>0</v>
      </c>
      <c r="EE84" s="1">
        <f t="shared" si="30"/>
        <v>0</v>
      </c>
      <c r="EF84" s="1">
        <f t="shared" si="30"/>
        <v>0</v>
      </c>
      <c r="EG84" s="1">
        <f t="shared" si="30"/>
        <v>0</v>
      </c>
      <c r="EH84" s="1">
        <f t="shared" si="30"/>
        <v>0</v>
      </c>
      <c r="EI84" s="1">
        <f t="shared" si="30"/>
        <v>0</v>
      </c>
      <c r="EJ84" s="1">
        <f t="shared" si="30"/>
        <v>0</v>
      </c>
    </row>
    <row r="85" spans="1:147" x14ac:dyDescent="0.25">
      <c r="BJ85" s="1">
        <f t="shared" ref="BJ85:BX85" si="31">BJ84/0.75</f>
        <v>0</v>
      </c>
      <c r="BK85" s="1">
        <f t="shared" si="31"/>
        <v>0</v>
      </c>
      <c r="BL85" s="1">
        <f t="shared" si="31"/>
        <v>0</v>
      </c>
      <c r="BM85" s="1">
        <f t="shared" si="31"/>
        <v>0</v>
      </c>
      <c r="BN85" s="1">
        <f t="shared" si="31"/>
        <v>0</v>
      </c>
      <c r="BO85" s="1">
        <f t="shared" si="31"/>
        <v>0</v>
      </c>
      <c r="BP85" s="1">
        <f t="shared" si="31"/>
        <v>0</v>
      </c>
      <c r="BQ85" s="1">
        <f t="shared" si="31"/>
        <v>0</v>
      </c>
      <c r="BR85" s="1">
        <f t="shared" si="31"/>
        <v>0</v>
      </c>
      <c r="BS85" s="1">
        <f t="shared" si="31"/>
        <v>0</v>
      </c>
      <c r="BT85" s="1">
        <f t="shared" si="31"/>
        <v>0</v>
      </c>
      <c r="BU85" s="1">
        <f t="shared" si="31"/>
        <v>0</v>
      </c>
      <c r="BV85" s="1">
        <f t="shared" si="31"/>
        <v>0</v>
      </c>
      <c r="BW85" s="1">
        <f t="shared" si="31"/>
        <v>0</v>
      </c>
      <c r="BX85" s="1">
        <f t="shared" si="31"/>
        <v>0</v>
      </c>
      <c r="BZ85" s="1">
        <f t="shared" ref="BZ85:CA85" si="32">BZ84/0.75</f>
        <v>0</v>
      </c>
      <c r="CA85" s="1">
        <f t="shared" si="32"/>
        <v>0</v>
      </c>
      <c r="CB85" s="1">
        <f>CB84/0.75</f>
        <v>0</v>
      </c>
      <c r="CC85" s="1">
        <f t="shared" ref="CC85:CI85" si="33">CC84/0.75</f>
        <v>0</v>
      </c>
      <c r="CD85" s="1">
        <f t="shared" si="33"/>
        <v>0</v>
      </c>
      <c r="CE85" s="1">
        <f t="shared" si="33"/>
        <v>0</v>
      </c>
      <c r="CF85" s="1">
        <f t="shared" si="33"/>
        <v>0</v>
      </c>
      <c r="CG85" s="1">
        <f t="shared" si="33"/>
        <v>0</v>
      </c>
      <c r="CH85" s="1">
        <f t="shared" si="33"/>
        <v>0</v>
      </c>
      <c r="CI85" s="1">
        <f t="shared" si="33"/>
        <v>0</v>
      </c>
      <c r="CK85" s="1">
        <f t="shared" ref="CK85:EH85" si="34">CK84/0.7</f>
        <v>0</v>
      </c>
      <c r="CL85" s="1">
        <f t="shared" si="34"/>
        <v>0</v>
      </c>
      <c r="CM85" s="1">
        <f t="shared" si="34"/>
        <v>0</v>
      </c>
      <c r="CN85" s="1">
        <f t="shared" si="34"/>
        <v>0</v>
      </c>
      <c r="CO85" s="1">
        <f t="shared" si="34"/>
        <v>0</v>
      </c>
      <c r="CP85" s="1">
        <f t="shared" si="34"/>
        <v>0</v>
      </c>
      <c r="CQ85" s="1">
        <f t="shared" si="34"/>
        <v>0</v>
      </c>
      <c r="CR85" s="1">
        <f t="shared" si="34"/>
        <v>0</v>
      </c>
      <c r="CS85" s="1">
        <f t="shared" si="34"/>
        <v>0</v>
      </c>
      <c r="CT85" s="1">
        <f t="shared" si="34"/>
        <v>0</v>
      </c>
      <c r="CU85" s="1">
        <f t="shared" si="34"/>
        <v>0</v>
      </c>
      <c r="CV85" s="1">
        <f t="shared" si="34"/>
        <v>0</v>
      </c>
      <c r="CW85" s="1">
        <f t="shared" si="34"/>
        <v>0</v>
      </c>
      <c r="CX85" s="1">
        <f t="shared" si="34"/>
        <v>0</v>
      </c>
      <c r="CY85" s="1">
        <f t="shared" si="34"/>
        <v>0</v>
      </c>
      <c r="CZ85" s="1">
        <f t="shared" si="34"/>
        <v>0</v>
      </c>
      <c r="DA85" s="1">
        <f t="shared" si="34"/>
        <v>0</v>
      </c>
      <c r="DB85" s="1">
        <f t="shared" si="34"/>
        <v>0</v>
      </c>
      <c r="DC85" s="1">
        <f t="shared" si="34"/>
        <v>0</v>
      </c>
      <c r="DD85" s="1">
        <f t="shared" si="34"/>
        <v>0</v>
      </c>
      <c r="DE85" s="1">
        <f t="shared" si="34"/>
        <v>0</v>
      </c>
      <c r="DF85" s="1">
        <f t="shared" si="34"/>
        <v>0</v>
      </c>
      <c r="DG85" s="1">
        <f t="shared" si="34"/>
        <v>0</v>
      </c>
      <c r="DH85" s="1">
        <f t="shared" si="34"/>
        <v>0</v>
      </c>
      <c r="DI85" s="1">
        <f t="shared" si="34"/>
        <v>0</v>
      </c>
      <c r="DJ85" s="1">
        <f t="shared" si="34"/>
        <v>0</v>
      </c>
      <c r="DK85" s="1">
        <f t="shared" si="34"/>
        <v>0</v>
      </c>
      <c r="DL85" s="1">
        <f t="shared" si="34"/>
        <v>0</v>
      </c>
      <c r="DM85" s="1">
        <f t="shared" si="34"/>
        <v>0</v>
      </c>
      <c r="DN85" s="1">
        <f t="shared" si="34"/>
        <v>0</v>
      </c>
      <c r="DO85" s="1">
        <f t="shared" si="34"/>
        <v>0</v>
      </c>
      <c r="DP85" s="1">
        <f t="shared" si="34"/>
        <v>0</v>
      </c>
      <c r="DQ85" s="1">
        <f t="shared" si="34"/>
        <v>0</v>
      </c>
      <c r="DR85" s="1">
        <f t="shared" si="34"/>
        <v>0</v>
      </c>
      <c r="DS85" s="1">
        <f t="shared" si="34"/>
        <v>0</v>
      </c>
      <c r="DT85" s="1">
        <f t="shared" si="34"/>
        <v>0</v>
      </c>
      <c r="DU85" s="1">
        <f t="shared" si="34"/>
        <v>0</v>
      </c>
      <c r="DV85" s="1">
        <f t="shared" si="34"/>
        <v>0</v>
      </c>
      <c r="DW85" s="1">
        <f t="shared" si="34"/>
        <v>0</v>
      </c>
      <c r="DX85" s="1">
        <f t="shared" si="34"/>
        <v>0</v>
      </c>
      <c r="DY85" s="1">
        <f t="shared" si="34"/>
        <v>0</v>
      </c>
      <c r="DZ85" s="1">
        <f t="shared" si="34"/>
        <v>0</v>
      </c>
      <c r="EA85" s="1">
        <f t="shared" si="34"/>
        <v>0</v>
      </c>
      <c r="EB85" s="1">
        <f t="shared" si="34"/>
        <v>0</v>
      </c>
      <c r="EC85" s="1">
        <f t="shared" si="34"/>
        <v>0</v>
      </c>
      <c r="ED85" s="1">
        <f t="shared" si="34"/>
        <v>0</v>
      </c>
      <c r="EE85" s="1">
        <f t="shared" si="34"/>
        <v>0</v>
      </c>
      <c r="EF85" s="1">
        <f t="shared" si="34"/>
        <v>0</v>
      </c>
      <c r="EG85" s="1">
        <f t="shared" si="34"/>
        <v>0</v>
      </c>
      <c r="EH85" s="1">
        <f t="shared" si="34"/>
        <v>0</v>
      </c>
      <c r="EI85" s="1">
        <f>EI84/0.7</f>
        <v>0</v>
      </c>
      <c r="EJ85" s="1">
        <f t="shared" ref="EJ85" si="35">EJ84/0.75</f>
        <v>0</v>
      </c>
    </row>
    <row r="86" spans="1:147" x14ac:dyDescent="0.25">
      <c r="A86" s="1" t="s">
        <v>291</v>
      </c>
    </row>
  </sheetData>
  <mergeCells count="13">
    <mergeCell ref="EN4:EN5"/>
    <mergeCell ref="DI3:DU3"/>
    <mergeCell ref="DW3:EJ3"/>
    <mergeCell ref="C1:EK1"/>
    <mergeCell ref="AP3:AX3"/>
    <mergeCell ref="AZ3:BI3"/>
    <mergeCell ref="BK3:BX3"/>
    <mergeCell ref="BZ3:CI3"/>
    <mergeCell ref="CK3:CS3"/>
    <mergeCell ref="CU3:DG3"/>
    <mergeCell ref="E3:Q3"/>
    <mergeCell ref="R3:U3"/>
    <mergeCell ref="V3:AM3"/>
  </mergeCells>
  <conditionalFormatting sqref="EP7">
    <cfRule type="expression" dxfId="1" priority="1">
      <formula>EQ6="no"</formula>
    </cfRule>
  </conditionalFormatting>
  <pageMargins left="0.25" right="0.25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7"/>
  <sheetViews>
    <sheetView view="pageLayout" topLeftCell="A160" zoomScaleNormal="100" workbookViewId="0">
      <selection activeCell="F178" sqref="F178"/>
    </sheetView>
  </sheetViews>
  <sheetFormatPr baseColWidth="10" defaultColWidth="11.42578125" defaultRowHeight="15" x14ac:dyDescent="0.25"/>
  <cols>
    <col min="1" max="1" width="5.5703125" style="58" customWidth="1"/>
    <col min="2" max="2" width="24.140625" style="59" customWidth="1"/>
    <col min="3" max="4" width="28" customWidth="1"/>
    <col min="5" max="5" width="8.28515625" customWidth="1"/>
    <col min="6" max="6" width="26" style="1" customWidth="1"/>
    <col min="7" max="8" width="26" customWidth="1"/>
  </cols>
  <sheetData>
    <row r="1" spans="1:8" ht="31.5" x14ac:dyDescent="0.5">
      <c r="A1" s="215" t="s">
        <v>311</v>
      </c>
      <c r="B1" s="215"/>
      <c r="C1" s="215"/>
      <c r="D1" s="215"/>
      <c r="E1" s="215" t="s">
        <v>310</v>
      </c>
      <c r="F1" s="215"/>
      <c r="G1" s="215"/>
      <c r="H1" s="215"/>
    </row>
    <row r="2" spans="1:8" x14ac:dyDescent="0.25">
      <c r="E2" s="58"/>
      <c r="F2" s="58"/>
    </row>
    <row r="3" spans="1:8" x14ac:dyDescent="0.25">
      <c r="E3" s="58"/>
      <c r="F3" s="58"/>
    </row>
    <row r="4" spans="1:8" x14ac:dyDescent="0.25">
      <c r="A4" s="47" t="s">
        <v>71</v>
      </c>
      <c r="B4" s="47" t="s">
        <v>73</v>
      </c>
      <c r="C4" s="47" t="s">
        <v>72</v>
      </c>
      <c r="D4" s="47" t="s">
        <v>74</v>
      </c>
      <c r="E4" s="47" t="s">
        <v>71</v>
      </c>
      <c r="F4" s="64" t="s">
        <v>73</v>
      </c>
      <c r="G4" s="47" t="s">
        <v>72</v>
      </c>
      <c r="H4" s="47" t="s">
        <v>74</v>
      </c>
    </row>
    <row r="5" spans="1:8" x14ac:dyDescent="0.25">
      <c r="A5" s="47">
        <v>1</v>
      </c>
      <c r="B5" s="208" t="s">
        <v>76</v>
      </c>
      <c r="C5" s="48" t="s">
        <v>75</v>
      </c>
      <c r="D5" s="49">
        <v>3000</v>
      </c>
      <c r="E5" s="52">
        <v>1</v>
      </c>
      <c r="F5" s="210">
        <v>45911</v>
      </c>
      <c r="G5" s="60" t="s">
        <v>124</v>
      </c>
      <c r="H5" s="49">
        <v>2000</v>
      </c>
    </row>
    <row r="6" spans="1:8" x14ac:dyDescent="0.25">
      <c r="A6" s="47">
        <v>2</v>
      </c>
      <c r="B6" s="214"/>
      <c r="C6" s="48" t="s">
        <v>77</v>
      </c>
      <c r="D6" s="49">
        <v>4500</v>
      </c>
      <c r="E6" s="52">
        <v>2</v>
      </c>
      <c r="F6" s="211"/>
      <c r="G6" s="60" t="s">
        <v>258</v>
      </c>
      <c r="H6" s="49">
        <v>3000</v>
      </c>
    </row>
    <row r="7" spans="1:8" x14ac:dyDescent="0.25">
      <c r="A7" s="47">
        <v>3</v>
      </c>
      <c r="B7" s="209"/>
      <c r="C7" s="48" t="s">
        <v>24</v>
      </c>
      <c r="D7" s="49">
        <v>1000</v>
      </c>
      <c r="E7" s="52">
        <v>3</v>
      </c>
      <c r="F7" s="212"/>
      <c r="G7" s="60" t="s">
        <v>259</v>
      </c>
      <c r="H7" s="49">
        <v>6000</v>
      </c>
    </row>
    <row r="8" spans="1:8" x14ac:dyDescent="0.25">
      <c r="A8" s="47">
        <v>4</v>
      </c>
      <c r="B8" s="208" t="s">
        <v>79</v>
      </c>
      <c r="C8" s="50" t="s">
        <v>78</v>
      </c>
      <c r="D8" s="49">
        <v>6000</v>
      </c>
      <c r="E8" s="52">
        <v>4</v>
      </c>
      <c r="F8" s="210">
        <v>45914</v>
      </c>
      <c r="G8" s="61" t="s">
        <v>260</v>
      </c>
      <c r="H8" s="49">
        <v>1000</v>
      </c>
    </row>
    <row r="9" spans="1:8" x14ac:dyDescent="0.25">
      <c r="A9" s="47">
        <v>5</v>
      </c>
      <c r="B9" s="214"/>
      <c r="C9" s="48" t="s">
        <v>80</v>
      </c>
      <c r="D9" s="49">
        <v>2000</v>
      </c>
      <c r="E9" s="52">
        <v>5</v>
      </c>
      <c r="F9" s="211"/>
      <c r="G9" s="60" t="s">
        <v>261</v>
      </c>
      <c r="H9" s="49">
        <v>2000</v>
      </c>
    </row>
    <row r="10" spans="1:8" x14ac:dyDescent="0.25">
      <c r="A10" s="47">
        <v>6</v>
      </c>
      <c r="B10" s="214"/>
      <c r="C10" s="48" t="s">
        <v>49</v>
      </c>
      <c r="D10" s="49">
        <v>1000</v>
      </c>
      <c r="E10" s="52">
        <v>6</v>
      </c>
      <c r="F10" s="211"/>
      <c r="G10" s="60" t="s">
        <v>262</v>
      </c>
      <c r="H10" s="49">
        <v>6000</v>
      </c>
    </row>
    <row r="11" spans="1:8" x14ac:dyDescent="0.25">
      <c r="A11" s="47">
        <v>7</v>
      </c>
      <c r="B11" s="209"/>
      <c r="C11" s="48" t="s">
        <v>63</v>
      </c>
      <c r="D11" s="49">
        <v>3000</v>
      </c>
      <c r="E11" s="52">
        <v>7</v>
      </c>
      <c r="F11" s="212"/>
      <c r="G11" s="60" t="s">
        <v>263</v>
      </c>
      <c r="H11" s="49">
        <v>4500</v>
      </c>
    </row>
    <row r="12" spans="1:8" x14ac:dyDescent="0.25">
      <c r="A12" s="47">
        <v>8</v>
      </c>
      <c r="B12" s="208" t="s">
        <v>84</v>
      </c>
      <c r="C12" s="48" t="s">
        <v>81</v>
      </c>
      <c r="D12" s="49">
        <v>3000</v>
      </c>
      <c r="E12" s="52">
        <v>8</v>
      </c>
      <c r="F12" s="210">
        <v>45916</v>
      </c>
      <c r="G12" s="60" t="s">
        <v>270</v>
      </c>
      <c r="H12" s="49">
        <v>3000</v>
      </c>
    </row>
    <row r="13" spans="1:8" x14ac:dyDescent="0.25">
      <c r="A13" s="47">
        <v>9</v>
      </c>
      <c r="B13" s="214"/>
      <c r="C13" s="48" t="s">
        <v>83</v>
      </c>
      <c r="D13" s="49">
        <v>3000</v>
      </c>
      <c r="E13" s="52">
        <v>9</v>
      </c>
      <c r="F13" s="211"/>
      <c r="G13" s="60" t="s">
        <v>269</v>
      </c>
      <c r="H13" s="49">
        <v>3000</v>
      </c>
    </row>
    <row r="14" spans="1:8" x14ac:dyDescent="0.25">
      <c r="A14" s="47">
        <v>10</v>
      </c>
      <c r="B14" s="209"/>
      <c r="C14" s="48" t="s">
        <v>82</v>
      </c>
      <c r="D14" s="49">
        <v>1000</v>
      </c>
      <c r="E14" s="52">
        <v>10</v>
      </c>
      <c r="F14" s="211"/>
      <c r="G14" s="60" t="s">
        <v>271</v>
      </c>
      <c r="H14" s="49">
        <v>1500</v>
      </c>
    </row>
    <row r="15" spans="1:8" x14ac:dyDescent="0.25">
      <c r="A15" s="47">
        <v>11</v>
      </c>
      <c r="B15" s="105" t="s">
        <v>85</v>
      </c>
      <c r="C15" s="48" t="s">
        <v>40</v>
      </c>
      <c r="D15" s="49">
        <v>3000</v>
      </c>
      <c r="E15" s="52">
        <v>11</v>
      </c>
      <c r="F15" s="211"/>
      <c r="G15" s="60" t="s">
        <v>98</v>
      </c>
      <c r="H15" s="49">
        <v>2000</v>
      </c>
    </row>
    <row r="16" spans="1:8" x14ac:dyDescent="0.25">
      <c r="A16" s="47">
        <v>12</v>
      </c>
      <c r="B16" s="105">
        <v>45750</v>
      </c>
      <c r="C16" s="48" t="s">
        <v>86</v>
      </c>
      <c r="D16" s="49">
        <v>9000</v>
      </c>
      <c r="E16" s="52">
        <v>12</v>
      </c>
      <c r="F16" s="212"/>
      <c r="G16" s="60" t="s">
        <v>259</v>
      </c>
      <c r="H16" s="49">
        <v>2000</v>
      </c>
    </row>
    <row r="17" spans="1:8" x14ac:dyDescent="0.25">
      <c r="A17" s="47">
        <v>13</v>
      </c>
      <c r="B17" s="208">
        <v>45811</v>
      </c>
      <c r="C17" s="48" t="s">
        <v>87</v>
      </c>
      <c r="D17" s="49">
        <v>1000</v>
      </c>
      <c r="E17" s="52">
        <v>13</v>
      </c>
      <c r="F17" s="210">
        <v>45918</v>
      </c>
      <c r="G17" s="60" t="s">
        <v>288</v>
      </c>
      <c r="H17" s="49">
        <v>1000</v>
      </c>
    </row>
    <row r="18" spans="1:8" x14ac:dyDescent="0.25">
      <c r="A18" s="47">
        <v>14</v>
      </c>
      <c r="B18" s="214"/>
      <c r="C18" s="48" t="s">
        <v>89</v>
      </c>
      <c r="D18" s="49">
        <v>2000</v>
      </c>
      <c r="E18" s="52">
        <v>14</v>
      </c>
      <c r="F18" s="211"/>
      <c r="G18" s="60" t="s">
        <v>262</v>
      </c>
      <c r="H18" s="49">
        <v>3000</v>
      </c>
    </row>
    <row r="19" spans="1:8" x14ac:dyDescent="0.25">
      <c r="A19" s="47">
        <v>15</v>
      </c>
      <c r="B19" s="209"/>
      <c r="C19" s="48" t="s">
        <v>88</v>
      </c>
      <c r="D19" s="49">
        <v>1000</v>
      </c>
      <c r="E19" s="52">
        <v>15</v>
      </c>
      <c r="F19" s="211"/>
      <c r="G19" s="60" t="s">
        <v>292</v>
      </c>
      <c r="H19" s="49">
        <v>3000</v>
      </c>
    </row>
    <row r="20" spans="1:8" x14ac:dyDescent="0.25">
      <c r="A20" s="47">
        <v>16</v>
      </c>
      <c r="B20" s="105" t="s">
        <v>91</v>
      </c>
      <c r="C20" s="48" t="s">
        <v>90</v>
      </c>
      <c r="D20" s="49">
        <v>4000</v>
      </c>
      <c r="E20" s="52">
        <v>16</v>
      </c>
      <c r="F20" s="212"/>
      <c r="G20" s="60" t="s">
        <v>289</v>
      </c>
      <c r="H20" s="49">
        <v>3000</v>
      </c>
    </row>
    <row r="21" spans="1:8" x14ac:dyDescent="0.25">
      <c r="A21" s="47">
        <v>17</v>
      </c>
      <c r="B21" s="208">
        <v>45734</v>
      </c>
      <c r="C21" s="48" t="s">
        <v>95</v>
      </c>
      <c r="D21" s="49">
        <v>1000</v>
      </c>
      <c r="E21" s="52">
        <v>17</v>
      </c>
      <c r="F21" s="68">
        <v>45921</v>
      </c>
      <c r="G21" s="60" t="s">
        <v>258</v>
      </c>
      <c r="H21" s="49">
        <v>1000</v>
      </c>
    </row>
    <row r="22" spans="1:8" x14ac:dyDescent="0.25">
      <c r="A22" s="47">
        <v>18</v>
      </c>
      <c r="B22" s="209"/>
      <c r="C22" s="48" t="s">
        <v>31</v>
      </c>
      <c r="D22" s="49">
        <v>1000</v>
      </c>
      <c r="E22" s="52">
        <v>18</v>
      </c>
      <c r="F22" s="68">
        <v>45925</v>
      </c>
      <c r="G22" s="60" t="s">
        <v>227</v>
      </c>
      <c r="H22" s="49">
        <v>1000</v>
      </c>
    </row>
    <row r="23" spans="1:8" x14ac:dyDescent="0.25">
      <c r="A23" s="47">
        <v>19</v>
      </c>
      <c r="B23" s="208">
        <v>45873</v>
      </c>
      <c r="C23" s="48" t="s">
        <v>63</v>
      </c>
      <c r="D23" s="49">
        <v>1000</v>
      </c>
      <c r="E23" s="52">
        <v>19</v>
      </c>
      <c r="F23" s="210">
        <v>45928</v>
      </c>
      <c r="G23" s="60" t="s">
        <v>172</v>
      </c>
      <c r="H23" s="49">
        <v>3000</v>
      </c>
    </row>
    <row r="24" spans="1:8" x14ac:dyDescent="0.25">
      <c r="A24" s="47">
        <v>20</v>
      </c>
      <c r="B24" s="209"/>
      <c r="C24" s="48" t="s">
        <v>96</v>
      </c>
      <c r="D24" s="49">
        <v>3000</v>
      </c>
      <c r="E24" s="52">
        <v>20</v>
      </c>
      <c r="F24" s="211"/>
      <c r="G24" s="60" t="s">
        <v>117</v>
      </c>
      <c r="H24" s="49">
        <v>2000</v>
      </c>
    </row>
    <row r="25" spans="1:8" x14ac:dyDescent="0.25">
      <c r="A25" s="47">
        <v>21</v>
      </c>
      <c r="B25" s="208" t="s">
        <v>99</v>
      </c>
      <c r="C25" s="48" t="s">
        <v>97</v>
      </c>
      <c r="D25" s="49">
        <v>6000</v>
      </c>
      <c r="E25" s="52">
        <v>21</v>
      </c>
      <c r="F25" s="211"/>
      <c r="G25" s="60" t="s">
        <v>156</v>
      </c>
      <c r="H25" s="49">
        <v>2000</v>
      </c>
    </row>
    <row r="26" spans="1:8" x14ac:dyDescent="0.25">
      <c r="A26" s="47">
        <v>22</v>
      </c>
      <c r="B26" s="214"/>
      <c r="C26" s="48" t="s">
        <v>98</v>
      </c>
      <c r="D26" s="49">
        <v>6000</v>
      </c>
      <c r="E26" s="52">
        <v>22</v>
      </c>
      <c r="F26" s="212"/>
      <c r="G26" s="60" t="s">
        <v>87</v>
      </c>
      <c r="H26" s="49">
        <v>1000</v>
      </c>
    </row>
    <row r="27" spans="1:8" x14ac:dyDescent="0.25">
      <c r="A27" s="47">
        <v>23</v>
      </c>
      <c r="B27" s="214"/>
      <c r="C27" s="48" t="s">
        <v>27</v>
      </c>
      <c r="D27" s="49">
        <v>2000</v>
      </c>
      <c r="E27" s="52">
        <v>23</v>
      </c>
      <c r="F27" s="210">
        <v>45930</v>
      </c>
      <c r="G27" s="60" t="s">
        <v>36</v>
      </c>
      <c r="H27" s="49">
        <v>2000</v>
      </c>
    </row>
    <row r="28" spans="1:8" x14ac:dyDescent="0.25">
      <c r="A28" s="47">
        <v>24</v>
      </c>
      <c r="B28" s="214"/>
      <c r="C28" s="48" t="s">
        <v>88</v>
      </c>
      <c r="D28" s="49">
        <v>1000</v>
      </c>
      <c r="E28" s="52">
        <v>24</v>
      </c>
      <c r="F28" s="212"/>
      <c r="G28" s="60" t="s">
        <v>313</v>
      </c>
      <c r="H28" s="49">
        <v>2000</v>
      </c>
    </row>
    <row r="29" spans="1:8" x14ac:dyDescent="0.25">
      <c r="A29" s="47">
        <v>25</v>
      </c>
      <c r="B29" s="209"/>
      <c r="C29" s="48" t="s">
        <v>40</v>
      </c>
      <c r="D29" s="49">
        <v>1000</v>
      </c>
      <c r="E29" s="52">
        <v>25</v>
      </c>
      <c r="F29" s="68">
        <v>45932</v>
      </c>
      <c r="G29" s="60" t="s">
        <v>314</v>
      </c>
      <c r="H29" s="49">
        <v>6000</v>
      </c>
    </row>
    <row r="30" spans="1:8" x14ac:dyDescent="0.25">
      <c r="A30" s="47">
        <v>26</v>
      </c>
      <c r="B30" s="208" t="s">
        <v>115</v>
      </c>
      <c r="C30" s="48" t="s">
        <v>113</v>
      </c>
      <c r="D30" s="49">
        <v>1000</v>
      </c>
      <c r="E30" s="52">
        <v>26</v>
      </c>
      <c r="F30" s="68">
        <v>45935</v>
      </c>
      <c r="G30" s="60" t="s">
        <v>229</v>
      </c>
      <c r="H30" s="49">
        <v>2000</v>
      </c>
    </row>
    <row r="31" spans="1:8" x14ac:dyDescent="0.25">
      <c r="A31" s="47">
        <v>27</v>
      </c>
      <c r="B31" s="214"/>
      <c r="C31" s="48" t="s">
        <v>36</v>
      </c>
      <c r="D31" s="49">
        <v>2000</v>
      </c>
      <c r="E31" s="52">
        <v>27</v>
      </c>
      <c r="F31" s="68">
        <v>45937</v>
      </c>
      <c r="G31" s="60" t="s">
        <v>317</v>
      </c>
      <c r="H31" s="49">
        <v>2000</v>
      </c>
    </row>
    <row r="32" spans="1:8" x14ac:dyDescent="0.25">
      <c r="A32" s="47">
        <v>28</v>
      </c>
      <c r="B32" s="209"/>
      <c r="C32" s="48" t="s">
        <v>114</v>
      </c>
      <c r="D32" s="49">
        <v>3000</v>
      </c>
      <c r="E32" s="52">
        <v>28</v>
      </c>
      <c r="F32" s="210">
        <v>45942</v>
      </c>
      <c r="G32" s="60" t="s">
        <v>318</v>
      </c>
      <c r="H32" s="107">
        <v>5000</v>
      </c>
    </row>
    <row r="33" spans="1:8" x14ac:dyDescent="0.25">
      <c r="A33" s="47">
        <v>29</v>
      </c>
      <c r="B33" s="208" t="s">
        <v>116</v>
      </c>
      <c r="C33" s="48" t="s">
        <v>35</v>
      </c>
      <c r="D33" s="49">
        <v>2000</v>
      </c>
      <c r="E33" s="52">
        <v>29</v>
      </c>
      <c r="F33" s="211"/>
      <c r="G33" s="60" t="s">
        <v>259</v>
      </c>
      <c r="H33" s="49">
        <v>2000</v>
      </c>
    </row>
    <row r="34" spans="1:8" x14ac:dyDescent="0.25">
      <c r="A34" s="47">
        <v>30</v>
      </c>
      <c r="B34" s="209"/>
      <c r="C34" s="48" t="s">
        <v>87</v>
      </c>
      <c r="D34" s="49">
        <v>1000</v>
      </c>
      <c r="E34" s="52">
        <v>30</v>
      </c>
      <c r="F34" s="211"/>
      <c r="G34" s="60" t="s">
        <v>262</v>
      </c>
      <c r="H34" s="49">
        <v>2000</v>
      </c>
    </row>
    <row r="35" spans="1:8" x14ac:dyDescent="0.25">
      <c r="A35" s="47">
        <v>31</v>
      </c>
      <c r="B35" s="208" t="s">
        <v>118</v>
      </c>
      <c r="C35" s="48" t="s">
        <v>128</v>
      </c>
      <c r="D35" s="49">
        <v>3000</v>
      </c>
      <c r="E35" s="52">
        <v>31</v>
      </c>
      <c r="F35" s="211"/>
      <c r="G35" s="60" t="s">
        <v>263</v>
      </c>
      <c r="H35" s="49">
        <v>1000</v>
      </c>
    </row>
    <row r="36" spans="1:8" x14ac:dyDescent="0.25">
      <c r="A36" s="47">
        <v>32</v>
      </c>
      <c r="B36" s="214"/>
      <c r="C36" s="48" t="s">
        <v>20</v>
      </c>
      <c r="D36" s="49">
        <v>2000</v>
      </c>
      <c r="E36" s="52">
        <v>32</v>
      </c>
      <c r="F36" s="211"/>
      <c r="G36" s="60" t="s">
        <v>319</v>
      </c>
      <c r="H36" s="49">
        <v>1000</v>
      </c>
    </row>
    <row r="37" spans="1:8" x14ac:dyDescent="0.25">
      <c r="A37" s="47">
        <v>33</v>
      </c>
      <c r="B37" s="214"/>
      <c r="C37" s="48" t="s">
        <v>95</v>
      </c>
      <c r="D37" s="49">
        <v>1000</v>
      </c>
      <c r="E37" s="52">
        <v>33</v>
      </c>
      <c r="F37" s="211"/>
      <c r="G37" s="60" t="s">
        <v>261</v>
      </c>
      <c r="H37" s="49">
        <v>1000</v>
      </c>
    </row>
    <row r="38" spans="1:8" x14ac:dyDescent="0.25">
      <c r="A38" s="47">
        <v>34</v>
      </c>
      <c r="B38" s="209"/>
      <c r="C38" s="48" t="s">
        <v>117</v>
      </c>
      <c r="D38" s="49">
        <v>2000</v>
      </c>
      <c r="E38" s="52">
        <v>34</v>
      </c>
      <c r="F38" s="211"/>
      <c r="G38" s="60" t="s">
        <v>187</v>
      </c>
      <c r="H38" s="49">
        <v>1000</v>
      </c>
    </row>
    <row r="39" spans="1:8" x14ac:dyDescent="0.25">
      <c r="A39" s="47">
        <v>35</v>
      </c>
      <c r="B39" s="208" t="s">
        <v>120</v>
      </c>
      <c r="C39" s="48" t="s">
        <v>129</v>
      </c>
      <c r="D39" s="49">
        <v>3000</v>
      </c>
      <c r="E39" s="52">
        <v>35</v>
      </c>
      <c r="F39" s="212"/>
      <c r="G39" s="60" t="s">
        <v>269</v>
      </c>
      <c r="H39" s="49">
        <v>1000</v>
      </c>
    </row>
    <row r="40" spans="1:8" x14ac:dyDescent="0.25">
      <c r="A40" s="47">
        <v>36</v>
      </c>
      <c r="B40" s="214"/>
      <c r="C40" s="48" t="s">
        <v>119</v>
      </c>
      <c r="D40" s="49">
        <v>2000</v>
      </c>
      <c r="E40" s="52">
        <v>36</v>
      </c>
      <c r="F40" s="210">
        <v>45944</v>
      </c>
      <c r="G40" s="60" t="s">
        <v>322</v>
      </c>
      <c r="H40" s="49">
        <v>3000</v>
      </c>
    </row>
    <row r="41" spans="1:8" x14ac:dyDescent="0.25">
      <c r="A41" s="47">
        <v>37</v>
      </c>
      <c r="B41" s="209"/>
      <c r="C41" s="48" t="s">
        <v>83</v>
      </c>
      <c r="D41" s="49">
        <v>1000</v>
      </c>
      <c r="E41" s="52">
        <v>37</v>
      </c>
      <c r="F41" s="211"/>
      <c r="G41" s="60" t="s">
        <v>321</v>
      </c>
      <c r="H41" s="49">
        <v>3000</v>
      </c>
    </row>
    <row r="42" spans="1:8" x14ac:dyDescent="0.25">
      <c r="A42" s="47">
        <v>38</v>
      </c>
      <c r="B42" s="208">
        <v>45813</v>
      </c>
      <c r="C42" s="48" t="s">
        <v>31</v>
      </c>
      <c r="D42" s="49">
        <v>1000</v>
      </c>
      <c r="E42" s="52">
        <v>38</v>
      </c>
      <c r="F42" s="211"/>
      <c r="G42" s="60" t="s">
        <v>320</v>
      </c>
      <c r="H42" s="49">
        <v>2000</v>
      </c>
    </row>
    <row r="43" spans="1:8" x14ac:dyDescent="0.25">
      <c r="A43" s="47">
        <v>39</v>
      </c>
      <c r="B43" s="214"/>
      <c r="C43" s="48" t="s">
        <v>123</v>
      </c>
      <c r="D43" s="49">
        <v>2000</v>
      </c>
      <c r="E43" s="52">
        <v>39</v>
      </c>
      <c r="F43" s="211"/>
      <c r="G43" s="60" t="s">
        <v>289</v>
      </c>
      <c r="H43" s="49">
        <v>2000</v>
      </c>
    </row>
    <row r="44" spans="1:8" x14ac:dyDescent="0.25">
      <c r="A44" s="47">
        <v>40</v>
      </c>
      <c r="B44" s="209"/>
      <c r="C44" s="48" t="s">
        <v>124</v>
      </c>
      <c r="D44" s="49">
        <v>3000</v>
      </c>
      <c r="E44" s="52">
        <v>40</v>
      </c>
      <c r="F44" s="212"/>
      <c r="G44" s="60" t="s">
        <v>182</v>
      </c>
      <c r="H44" s="49">
        <v>1000</v>
      </c>
    </row>
    <row r="45" spans="1:8" x14ac:dyDescent="0.25">
      <c r="A45" s="47">
        <v>41</v>
      </c>
      <c r="B45" s="105">
        <v>45874</v>
      </c>
      <c r="C45" s="48" t="s">
        <v>131</v>
      </c>
      <c r="D45" s="49">
        <v>3000</v>
      </c>
      <c r="E45" s="52">
        <v>41</v>
      </c>
      <c r="F45" s="210">
        <v>45949</v>
      </c>
      <c r="G45" s="60" t="s">
        <v>124</v>
      </c>
      <c r="H45" s="49">
        <v>2000</v>
      </c>
    </row>
    <row r="46" spans="1:8" x14ac:dyDescent="0.25">
      <c r="A46" s="47">
        <v>42</v>
      </c>
      <c r="B46" s="105" t="s">
        <v>132</v>
      </c>
      <c r="C46" s="48" t="s">
        <v>75</v>
      </c>
      <c r="D46" s="49">
        <v>3000</v>
      </c>
      <c r="E46" s="52">
        <v>42</v>
      </c>
      <c r="F46" s="211"/>
      <c r="G46" s="60" t="s">
        <v>117</v>
      </c>
      <c r="H46" s="49">
        <v>2000</v>
      </c>
    </row>
    <row r="47" spans="1:8" x14ac:dyDescent="0.25">
      <c r="A47" s="47">
        <v>43</v>
      </c>
      <c r="B47" s="105" t="s">
        <v>143</v>
      </c>
      <c r="C47" s="48" t="s">
        <v>88</v>
      </c>
      <c r="D47" s="49">
        <v>1000</v>
      </c>
      <c r="E47" s="52">
        <v>43</v>
      </c>
      <c r="F47" s="211"/>
      <c r="G47" s="60" t="s">
        <v>292</v>
      </c>
      <c r="H47" s="49">
        <v>1000</v>
      </c>
    </row>
    <row r="48" spans="1:8" x14ac:dyDescent="0.25">
      <c r="A48" s="47">
        <v>44</v>
      </c>
      <c r="B48" s="208" t="s">
        <v>145</v>
      </c>
      <c r="C48" s="48" t="s">
        <v>27</v>
      </c>
      <c r="D48" s="49">
        <v>2000</v>
      </c>
      <c r="E48" s="52">
        <v>44</v>
      </c>
      <c r="F48" s="212"/>
      <c r="G48" s="60" t="s">
        <v>87</v>
      </c>
      <c r="H48" s="49">
        <v>1000</v>
      </c>
    </row>
    <row r="49" spans="1:8" x14ac:dyDescent="0.25">
      <c r="A49" s="47">
        <v>45</v>
      </c>
      <c r="B49" s="214"/>
      <c r="C49" s="48" t="s">
        <v>117</v>
      </c>
      <c r="D49" s="49">
        <v>2000</v>
      </c>
      <c r="E49" s="52">
        <v>45</v>
      </c>
      <c r="F49" s="210">
        <v>45956</v>
      </c>
      <c r="G49" s="60" t="s">
        <v>35</v>
      </c>
      <c r="H49" s="49">
        <v>1000</v>
      </c>
    </row>
    <row r="50" spans="1:8" x14ac:dyDescent="0.25">
      <c r="A50" s="47">
        <v>46</v>
      </c>
      <c r="B50" s="214"/>
      <c r="C50" s="48" t="s">
        <v>98</v>
      </c>
      <c r="D50" s="49">
        <v>2000</v>
      </c>
      <c r="E50" s="52">
        <v>46</v>
      </c>
      <c r="F50" s="211"/>
      <c r="G50" s="60" t="s">
        <v>270</v>
      </c>
      <c r="H50" s="49">
        <v>1000</v>
      </c>
    </row>
    <row r="51" spans="1:8" x14ac:dyDescent="0.25">
      <c r="A51" s="47">
        <v>47</v>
      </c>
      <c r="B51" s="214"/>
      <c r="C51" s="48" t="s">
        <v>97</v>
      </c>
      <c r="D51" s="49">
        <v>2000</v>
      </c>
      <c r="E51" s="52">
        <v>47</v>
      </c>
      <c r="F51" s="212"/>
      <c r="G51" s="60" t="s">
        <v>288</v>
      </c>
      <c r="H51" s="49">
        <v>1000</v>
      </c>
    </row>
    <row r="52" spans="1:8" x14ac:dyDescent="0.25">
      <c r="A52" s="47">
        <v>48</v>
      </c>
      <c r="B52" s="214"/>
      <c r="C52" s="48" t="s">
        <v>95</v>
      </c>
      <c r="D52" s="49">
        <v>1000</v>
      </c>
      <c r="E52" s="52">
        <v>48</v>
      </c>
      <c r="F52" s="68">
        <v>45958</v>
      </c>
      <c r="G52" s="60" t="s">
        <v>231</v>
      </c>
      <c r="H52" s="49">
        <v>3000</v>
      </c>
    </row>
    <row r="53" spans="1:8" x14ac:dyDescent="0.25">
      <c r="A53" s="47">
        <v>49</v>
      </c>
      <c r="B53" s="214"/>
      <c r="C53" s="48" t="s">
        <v>40</v>
      </c>
      <c r="D53" s="49">
        <v>1000</v>
      </c>
      <c r="E53" s="52">
        <v>49</v>
      </c>
      <c r="F53" s="210">
        <v>45960</v>
      </c>
      <c r="G53" s="60" t="s">
        <v>231</v>
      </c>
      <c r="H53" s="49">
        <v>1000</v>
      </c>
    </row>
    <row r="54" spans="1:8" x14ac:dyDescent="0.25">
      <c r="A54" s="47">
        <v>50</v>
      </c>
      <c r="B54" s="214"/>
      <c r="C54" s="48" t="s">
        <v>89</v>
      </c>
      <c r="D54" s="49">
        <v>6000</v>
      </c>
      <c r="E54" s="52">
        <v>50</v>
      </c>
      <c r="F54" s="211"/>
      <c r="G54" s="60" t="s">
        <v>328</v>
      </c>
      <c r="H54" s="49">
        <v>1500</v>
      </c>
    </row>
    <row r="55" spans="1:8" x14ac:dyDescent="0.25">
      <c r="A55" s="47">
        <v>51</v>
      </c>
      <c r="B55" s="209"/>
      <c r="C55" s="48" t="s">
        <v>144</v>
      </c>
      <c r="D55" s="49">
        <v>6000</v>
      </c>
      <c r="E55" s="52">
        <v>51</v>
      </c>
      <c r="F55" s="211"/>
      <c r="G55" s="60" t="s">
        <v>98</v>
      </c>
      <c r="H55" s="49">
        <v>2000</v>
      </c>
    </row>
    <row r="56" spans="1:8" x14ac:dyDescent="0.25">
      <c r="A56" s="47">
        <v>52</v>
      </c>
      <c r="B56" s="208" t="s">
        <v>150</v>
      </c>
      <c r="C56" s="48" t="s">
        <v>128</v>
      </c>
      <c r="D56" s="49">
        <v>1000</v>
      </c>
      <c r="E56" s="52">
        <v>52</v>
      </c>
      <c r="F56" s="212"/>
      <c r="G56" s="60" t="s">
        <v>329</v>
      </c>
      <c r="H56" s="49">
        <v>3000</v>
      </c>
    </row>
    <row r="57" spans="1:8" x14ac:dyDescent="0.25">
      <c r="A57" s="47">
        <v>53</v>
      </c>
      <c r="B57" s="214"/>
      <c r="C57" s="48" t="s">
        <v>148</v>
      </c>
      <c r="D57" s="49">
        <v>3000</v>
      </c>
      <c r="E57" s="52">
        <v>53</v>
      </c>
      <c r="F57" s="210">
        <v>45963</v>
      </c>
      <c r="G57" s="60" t="s">
        <v>331</v>
      </c>
      <c r="H57" s="49">
        <v>3000</v>
      </c>
    </row>
    <row r="58" spans="1:8" x14ac:dyDescent="0.25">
      <c r="A58" s="47">
        <v>54</v>
      </c>
      <c r="B58" s="209"/>
      <c r="C58" s="48" t="s">
        <v>149</v>
      </c>
      <c r="D58" s="49">
        <v>3000</v>
      </c>
      <c r="E58" s="52">
        <v>54</v>
      </c>
      <c r="F58" s="212"/>
      <c r="G58" s="60" t="s">
        <v>328</v>
      </c>
      <c r="H58" s="49">
        <v>4000</v>
      </c>
    </row>
    <row r="59" spans="1:8" x14ac:dyDescent="0.25">
      <c r="A59" s="47">
        <v>55</v>
      </c>
      <c r="B59" s="105">
        <v>45663</v>
      </c>
      <c r="C59" s="48" t="s">
        <v>87</v>
      </c>
      <c r="D59" s="49">
        <v>1000</v>
      </c>
      <c r="E59" s="52">
        <v>55</v>
      </c>
      <c r="F59" s="68">
        <v>45970</v>
      </c>
      <c r="G59" s="60" t="s">
        <v>333</v>
      </c>
      <c r="H59" s="49">
        <v>1000</v>
      </c>
    </row>
    <row r="60" spans="1:8" x14ac:dyDescent="0.25">
      <c r="A60" s="47">
        <v>56</v>
      </c>
      <c r="B60" s="208">
        <v>45722</v>
      </c>
      <c r="C60" s="48" t="s">
        <v>82</v>
      </c>
      <c r="D60" s="49">
        <v>2000</v>
      </c>
      <c r="E60" s="52">
        <v>56</v>
      </c>
      <c r="F60" s="210">
        <v>45972</v>
      </c>
      <c r="G60" s="60" t="s">
        <v>335</v>
      </c>
      <c r="H60" s="49">
        <v>2000</v>
      </c>
    </row>
    <row r="61" spans="1:8" x14ac:dyDescent="0.25">
      <c r="A61" s="47">
        <v>57</v>
      </c>
      <c r="B61" s="209"/>
      <c r="C61" s="48" t="s">
        <v>157</v>
      </c>
      <c r="D61" s="49">
        <v>6000</v>
      </c>
      <c r="E61" s="52">
        <v>57</v>
      </c>
      <c r="F61" s="212"/>
      <c r="G61" s="60" t="s">
        <v>263</v>
      </c>
      <c r="H61" s="49">
        <v>1000</v>
      </c>
    </row>
    <row r="62" spans="1:8" x14ac:dyDescent="0.25">
      <c r="A62" s="47">
        <v>58</v>
      </c>
      <c r="B62" s="208">
        <v>45936</v>
      </c>
      <c r="C62" s="48" t="s">
        <v>158</v>
      </c>
      <c r="D62" s="49">
        <v>3000</v>
      </c>
      <c r="E62" s="52">
        <v>58</v>
      </c>
      <c r="F62" s="210">
        <v>47075</v>
      </c>
      <c r="G62" s="60" t="s">
        <v>261</v>
      </c>
      <c r="H62" s="49">
        <v>1000</v>
      </c>
    </row>
    <row r="63" spans="1:8" x14ac:dyDescent="0.25">
      <c r="A63" s="47">
        <v>59</v>
      </c>
      <c r="B63" s="214"/>
      <c r="C63" s="48" t="s">
        <v>35</v>
      </c>
      <c r="D63" s="49">
        <v>2000</v>
      </c>
      <c r="E63" s="52">
        <v>59</v>
      </c>
      <c r="F63" s="212"/>
      <c r="G63" s="60" t="s">
        <v>336</v>
      </c>
      <c r="H63" s="49">
        <v>3000</v>
      </c>
    </row>
    <row r="64" spans="1:8" x14ac:dyDescent="0.25">
      <c r="A64" s="47">
        <v>60</v>
      </c>
      <c r="B64" s="214"/>
      <c r="C64" s="48" t="s">
        <v>149</v>
      </c>
      <c r="D64" s="49">
        <v>500</v>
      </c>
      <c r="E64" s="52">
        <v>60</v>
      </c>
      <c r="F64" s="210">
        <v>45984</v>
      </c>
      <c r="G64" s="60" t="s">
        <v>337</v>
      </c>
      <c r="H64" s="49">
        <v>3000</v>
      </c>
    </row>
    <row r="65" spans="1:8" x14ac:dyDescent="0.25">
      <c r="A65" s="47">
        <v>61</v>
      </c>
      <c r="B65" s="209"/>
      <c r="C65" s="48" t="s">
        <v>157</v>
      </c>
      <c r="D65" s="49">
        <v>500</v>
      </c>
      <c r="E65" s="52">
        <v>61</v>
      </c>
      <c r="F65" s="211"/>
      <c r="G65" s="60" t="s">
        <v>259</v>
      </c>
      <c r="H65" s="49">
        <v>2000</v>
      </c>
    </row>
    <row r="66" spans="1:8" x14ac:dyDescent="0.25">
      <c r="A66" s="47">
        <v>62</v>
      </c>
      <c r="B66" s="105">
        <v>45997</v>
      </c>
      <c r="C66" s="48" t="s">
        <v>156</v>
      </c>
      <c r="D66" s="49">
        <v>3000</v>
      </c>
      <c r="E66" s="52">
        <v>62</v>
      </c>
      <c r="F66" s="211"/>
      <c r="G66" s="60" t="s">
        <v>229</v>
      </c>
      <c r="H66" s="49">
        <v>2000</v>
      </c>
    </row>
    <row r="67" spans="1:8" x14ac:dyDescent="0.25">
      <c r="A67" s="47">
        <v>63</v>
      </c>
      <c r="B67" s="105" t="s">
        <v>151</v>
      </c>
      <c r="C67" s="48" t="s">
        <v>155</v>
      </c>
      <c r="D67" s="49">
        <v>3000</v>
      </c>
      <c r="E67" s="52">
        <v>63</v>
      </c>
      <c r="F67" s="212"/>
      <c r="G67" s="60" t="s">
        <v>269</v>
      </c>
      <c r="H67" s="49">
        <v>1000</v>
      </c>
    </row>
    <row r="68" spans="1:8" x14ac:dyDescent="0.25">
      <c r="A68" s="47">
        <v>64</v>
      </c>
      <c r="B68" s="208" t="s">
        <v>152</v>
      </c>
      <c r="C68" s="48" t="s">
        <v>117</v>
      </c>
      <c r="D68" s="49">
        <v>2000</v>
      </c>
      <c r="E68" s="52">
        <v>64</v>
      </c>
      <c r="F68" s="210">
        <v>45986</v>
      </c>
      <c r="G68" s="60" t="s">
        <v>182</v>
      </c>
      <c r="H68" s="49">
        <v>1000</v>
      </c>
    </row>
    <row r="69" spans="1:8" x14ac:dyDescent="0.25">
      <c r="A69" s="47">
        <v>65</v>
      </c>
      <c r="B69" s="214"/>
      <c r="C69" s="48" t="s">
        <v>95</v>
      </c>
      <c r="D69" s="49">
        <v>2000</v>
      </c>
      <c r="E69" s="52">
        <v>65</v>
      </c>
      <c r="F69" s="211"/>
      <c r="G69" s="60" t="s">
        <v>187</v>
      </c>
      <c r="H69" s="49">
        <v>1000</v>
      </c>
    </row>
    <row r="70" spans="1:8" x14ac:dyDescent="0.25">
      <c r="A70" s="47">
        <v>66</v>
      </c>
      <c r="B70" s="214"/>
      <c r="C70" s="48" t="s">
        <v>153</v>
      </c>
      <c r="D70" s="49">
        <v>3000</v>
      </c>
      <c r="E70" s="52">
        <v>66</v>
      </c>
      <c r="F70" s="211"/>
      <c r="G70" s="60" t="s">
        <v>156</v>
      </c>
      <c r="H70" s="49">
        <v>1000</v>
      </c>
    </row>
    <row r="71" spans="1:8" x14ac:dyDescent="0.25">
      <c r="A71" s="47">
        <v>67</v>
      </c>
      <c r="B71" s="209"/>
      <c r="C71" s="48" t="s">
        <v>154</v>
      </c>
      <c r="D71" s="49">
        <v>6000</v>
      </c>
      <c r="E71" s="52">
        <v>67</v>
      </c>
      <c r="F71" s="211"/>
      <c r="G71" s="60" t="s">
        <v>292</v>
      </c>
      <c r="H71" s="49">
        <v>1000</v>
      </c>
    </row>
    <row r="72" spans="1:8" x14ac:dyDescent="0.25">
      <c r="A72" s="47">
        <v>68</v>
      </c>
      <c r="B72" s="208" t="s">
        <v>173</v>
      </c>
      <c r="C72" s="48" t="s">
        <v>172</v>
      </c>
      <c r="D72" s="49">
        <v>9000</v>
      </c>
      <c r="E72" s="52">
        <v>68</v>
      </c>
      <c r="F72" s="211"/>
      <c r="G72" s="60" t="s">
        <v>270</v>
      </c>
      <c r="H72" s="49">
        <v>1000</v>
      </c>
    </row>
    <row r="73" spans="1:8" x14ac:dyDescent="0.25">
      <c r="A73" s="47">
        <v>69</v>
      </c>
      <c r="B73" s="214"/>
      <c r="C73" s="48" t="s">
        <v>171</v>
      </c>
      <c r="D73" s="49">
        <v>3000</v>
      </c>
      <c r="E73" s="52">
        <v>69</v>
      </c>
      <c r="F73" s="211"/>
      <c r="G73" s="60" t="s">
        <v>313</v>
      </c>
      <c r="H73" s="49">
        <v>2000</v>
      </c>
    </row>
    <row r="74" spans="1:8" x14ac:dyDescent="0.25">
      <c r="A74" s="47">
        <v>70</v>
      </c>
      <c r="B74" s="209"/>
      <c r="C74" s="48" t="s">
        <v>88</v>
      </c>
      <c r="D74" s="49">
        <v>1000</v>
      </c>
      <c r="E74" s="52">
        <v>70</v>
      </c>
      <c r="F74" s="212"/>
      <c r="G74" s="60" t="s">
        <v>356</v>
      </c>
      <c r="H74" s="49">
        <v>4000</v>
      </c>
    </row>
    <row r="75" spans="1:8" x14ac:dyDescent="0.25">
      <c r="A75" s="47">
        <v>71</v>
      </c>
      <c r="B75" s="208" t="s">
        <v>178</v>
      </c>
      <c r="C75" s="48" t="s">
        <v>182</v>
      </c>
      <c r="D75" s="49">
        <v>3000</v>
      </c>
      <c r="E75" s="52">
        <v>71</v>
      </c>
      <c r="F75" s="210">
        <v>45988</v>
      </c>
      <c r="G75" s="60" t="s">
        <v>262</v>
      </c>
      <c r="H75" s="49">
        <v>2000</v>
      </c>
    </row>
    <row r="76" spans="1:8" x14ac:dyDescent="0.25">
      <c r="A76" s="47">
        <v>72</v>
      </c>
      <c r="B76" s="214"/>
      <c r="C76" s="48" t="s">
        <v>185</v>
      </c>
      <c r="D76" s="49">
        <v>3000</v>
      </c>
      <c r="E76" s="52">
        <v>72</v>
      </c>
      <c r="F76" s="211"/>
      <c r="G76" s="60" t="s">
        <v>117</v>
      </c>
      <c r="H76" s="49">
        <v>2000</v>
      </c>
    </row>
    <row r="77" spans="1:8" x14ac:dyDescent="0.25">
      <c r="A77" s="47">
        <v>73</v>
      </c>
      <c r="B77" s="214"/>
      <c r="C77" s="48" t="s">
        <v>114</v>
      </c>
      <c r="D77" s="49">
        <v>3000</v>
      </c>
      <c r="E77" s="52">
        <v>73</v>
      </c>
      <c r="F77" s="211"/>
      <c r="G77" s="60" t="s">
        <v>322</v>
      </c>
      <c r="H77" s="49">
        <v>1000</v>
      </c>
    </row>
    <row r="78" spans="1:8" x14ac:dyDescent="0.25">
      <c r="A78" s="47">
        <v>74</v>
      </c>
      <c r="B78" s="214"/>
      <c r="C78" s="48" t="s">
        <v>98</v>
      </c>
      <c r="D78" s="49">
        <v>2000</v>
      </c>
      <c r="E78" s="52">
        <v>74</v>
      </c>
      <c r="F78" s="212"/>
      <c r="G78" s="60" t="s">
        <v>362</v>
      </c>
      <c r="H78" s="49">
        <v>1000</v>
      </c>
    </row>
    <row r="79" spans="1:8" x14ac:dyDescent="0.25">
      <c r="A79" s="47">
        <v>75</v>
      </c>
      <c r="B79" s="214"/>
      <c r="C79" s="48" t="s">
        <v>131</v>
      </c>
      <c r="D79" s="49">
        <v>1000</v>
      </c>
      <c r="E79" s="52">
        <v>75</v>
      </c>
      <c r="F79" s="210">
        <v>45993</v>
      </c>
      <c r="G79" s="60" t="s">
        <v>370</v>
      </c>
      <c r="H79" s="49">
        <v>10000</v>
      </c>
    </row>
    <row r="80" spans="1:8" x14ac:dyDescent="0.25">
      <c r="A80" s="47">
        <v>76</v>
      </c>
      <c r="B80" s="209"/>
      <c r="C80" s="48" t="s">
        <v>177</v>
      </c>
      <c r="D80" s="49">
        <v>1000</v>
      </c>
      <c r="E80" s="52">
        <v>76</v>
      </c>
      <c r="F80" s="211"/>
      <c r="G80" s="60" t="s">
        <v>67</v>
      </c>
      <c r="H80" s="49">
        <v>2000</v>
      </c>
    </row>
    <row r="81" spans="1:8" x14ac:dyDescent="0.25">
      <c r="A81" s="47">
        <v>77</v>
      </c>
      <c r="B81" s="105" t="s">
        <v>179</v>
      </c>
      <c r="C81" s="48" t="s">
        <v>184</v>
      </c>
      <c r="D81" s="49">
        <v>3000</v>
      </c>
      <c r="E81" s="52">
        <v>77</v>
      </c>
      <c r="F81" s="211"/>
      <c r="G81" s="60" t="s">
        <v>87</v>
      </c>
      <c r="H81" s="49">
        <v>2000</v>
      </c>
    </row>
    <row r="82" spans="1:8" x14ac:dyDescent="0.25">
      <c r="A82" s="47">
        <v>78</v>
      </c>
      <c r="B82" s="208">
        <v>45723</v>
      </c>
      <c r="C82" s="48" t="s">
        <v>186</v>
      </c>
      <c r="D82" s="49">
        <v>2000</v>
      </c>
      <c r="E82" s="52">
        <v>78</v>
      </c>
      <c r="F82" s="211"/>
      <c r="G82" s="60" t="s">
        <v>231</v>
      </c>
      <c r="H82" s="49">
        <v>2000</v>
      </c>
    </row>
    <row r="83" spans="1:8" x14ac:dyDescent="0.25">
      <c r="A83" s="47">
        <v>79</v>
      </c>
      <c r="B83" s="209"/>
      <c r="C83" s="48" t="s">
        <v>172</v>
      </c>
      <c r="D83" s="49">
        <v>1000</v>
      </c>
      <c r="E83" s="52">
        <v>79</v>
      </c>
      <c r="F83" s="212"/>
      <c r="G83" s="60" t="s">
        <v>329</v>
      </c>
      <c r="H83" s="49">
        <v>1000</v>
      </c>
    </row>
    <row r="84" spans="1:8" x14ac:dyDescent="0.25">
      <c r="A84" s="47">
        <v>80</v>
      </c>
      <c r="B84" s="105">
        <v>45815</v>
      </c>
      <c r="C84" s="48" t="s">
        <v>187</v>
      </c>
      <c r="D84" s="49">
        <v>3000</v>
      </c>
      <c r="E84" s="52">
        <v>80</v>
      </c>
      <c r="F84" s="68">
        <v>45995</v>
      </c>
      <c r="G84" s="60" t="s">
        <v>172</v>
      </c>
      <c r="H84" s="49">
        <v>6000</v>
      </c>
    </row>
    <row r="85" spans="1:8" x14ac:dyDescent="0.25">
      <c r="A85" s="47">
        <v>81</v>
      </c>
      <c r="B85" s="105">
        <v>45754</v>
      </c>
      <c r="C85" s="48" t="s">
        <v>124</v>
      </c>
      <c r="D85" s="49">
        <v>2000</v>
      </c>
      <c r="E85" s="52">
        <v>81</v>
      </c>
      <c r="F85" s="210">
        <v>46005</v>
      </c>
      <c r="G85" s="60" t="s">
        <v>314</v>
      </c>
      <c r="H85" s="49">
        <v>2000</v>
      </c>
    </row>
    <row r="86" spans="1:8" x14ac:dyDescent="0.25">
      <c r="A86" s="47">
        <v>82</v>
      </c>
      <c r="B86" s="208">
        <v>45876</v>
      </c>
      <c r="C86" s="48" t="s">
        <v>158</v>
      </c>
      <c r="D86" s="49">
        <v>2000</v>
      </c>
      <c r="E86" s="52">
        <v>82</v>
      </c>
      <c r="F86" s="211"/>
      <c r="G86" s="60" t="s">
        <v>263</v>
      </c>
      <c r="H86" s="49">
        <v>1000</v>
      </c>
    </row>
    <row r="87" spans="1:8" x14ac:dyDescent="0.25">
      <c r="A87" s="47">
        <v>83</v>
      </c>
      <c r="B87" s="209"/>
      <c r="C87" s="48" t="s">
        <v>157</v>
      </c>
      <c r="D87" s="49">
        <v>2000</v>
      </c>
      <c r="E87" s="52">
        <v>83</v>
      </c>
      <c r="F87" s="212"/>
      <c r="G87" s="60" t="s">
        <v>289</v>
      </c>
      <c r="H87" s="49">
        <v>1000</v>
      </c>
    </row>
    <row r="88" spans="1:8" x14ac:dyDescent="0.25">
      <c r="A88" s="47">
        <v>84</v>
      </c>
      <c r="B88" s="105">
        <v>45937</v>
      </c>
      <c r="C88" s="48" t="s">
        <v>191</v>
      </c>
      <c r="D88" s="49">
        <v>4500</v>
      </c>
      <c r="E88" s="52">
        <v>84</v>
      </c>
      <c r="F88" s="210">
        <v>46007</v>
      </c>
      <c r="G88" s="60" t="s">
        <v>374</v>
      </c>
      <c r="H88" s="49">
        <v>3000</v>
      </c>
    </row>
    <row r="89" spans="1:8" x14ac:dyDescent="0.25">
      <c r="A89" s="47">
        <v>85</v>
      </c>
      <c r="B89" s="208" t="s">
        <v>226</v>
      </c>
      <c r="C89" s="48" t="s">
        <v>227</v>
      </c>
      <c r="D89" s="49">
        <v>3000</v>
      </c>
      <c r="E89" s="52">
        <v>85</v>
      </c>
      <c r="F89" s="211"/>
      <c r="G89" s="60" t="s">
        <v>98</v>
      </c>
      <c r="H89" s="49">
        <v>2000</v>
      </c>
    </row>
    <row r="90" spans="1:8" x14ac:dyDescent="0.25">
      <c r="A90" s="47">
        <v>86</v>
      </c>
      <c r="B90" s="214"/>
      <c r="C90" s="48" t="s">
        <v>154</v>
      </c>
      <c r="D90" s="49">
        <v>2000</v>
      </c>
      <c r="E90" s="52">
        <v>86</v>
      </c>
      <c r="F90" s="212"/>
      <c r="G90" s="60" t="s">
        <v>269</v>
      </c>
      <c r="H90" s="49">
        <v>1000</v>
      </c>
    </row>
    <row r="91" spans="1:8" x14ac:dyDescent="0.25">
      <c r="A91" s="47">
        <v>87</v>
      </c>
      <c r="B91" s="209"/>
      <c r="C91" s="48" t="s">
        <v>87</v>
      </c>
      <c r="D91" s="49">
        <v>1000</v>
      </c>
      <c r="E91" s="52">
        <v>87</v>
      </c>
      <c r="F91" s="68">
        <v>46009</v>
      </c>
      <c r="G91" s="60" t="s">
        <v>375</v>
      </c>
      <c r="H91" s="49">
        <v>3000</v>
      </c>
    </row>
    <row r="92" spans="1:8" x14ac:dyDescent="0.25">
      <c r="A92" s="47">
        <v>88</v>
      </c>
      <c r="B92" s="208" t="s">
        <v>228</v>
      </c>
      <c r="C92" s="48" t="s">
        <v>229</v>
      </c>
      <c r="D92" s="49">
        <v>4000</v>
      </c>
      <c r="E92" s="52">
        <v>88</v>
      </c>
      <c r="F92" s="68">
        <v>46014</v>
      </c>
      <c r="G92" s="60" t="s">
        <v>35</v>
      </c>
      <c r="H92" s="49">
        <v>2000</v>
      </c>
    </row>
    <row r="93" spans="1:8" x14ac:dyDescent="0.25">
      <c r="A93" s="47">
        <v>89</v>
      </c>
      <c r="B93" s="214"/>
      <c r="C93" s="48" t="s">
        <v>119</v>
      </c>
      <c r="D93" s="49">
        <v>2000</v>
      </c>
      <c r="E93" s="52">
        <v>89</v>
      </c>
      <c r="F93" s="68">
        <v>46017</v>
      </c>
      <c r="G93" s="60" t="s">
        <v>318</v>
      </c>
      <c r="H93" s="49">
        <v>2000</v>
      </c>
    </row>
    <row r="94" spans="1:8" x14ac:dyDescent="0.25">
      <c r="A94" s="47">
        <v>90</v>
      </c>
      <c r="B94" s="214"/>
      <c r="C94" s="51" t="s">
        <v>149</v>
      </c>
      <c r="D94" s="49">
        <v>1000</v>
      </c>
      <c r="E94" s="52">
        <v>90</v>
      </c>
      <c r="F94" s="210">
        <v>46021</v>
      </c>
      <c r="G94" s="62" t="s">
        <v>270</v>
      </c>
      <c r="H94" s="49">
        <v>1000</v>
      </c>
    </row>
    <row r="95" spans="1:8" x14ac:dyDescent="0.25">
      <c r="A95" s="52">
        <v>91</v>
      </c>
      <c r="B95" s="213" t="s">
        <v>230</v>
      </c>
      <c r="C95" s="46" t="s">
        <v>98</v>
      </c>
      <c r="D95" s="53">
        <v>2000</v>
      </c>
      <c r="E95" s="52">
        <v>91</v>
      </c>
      <c r="F95" s="212"/>
      <c r="G95" s="63" t="s">
        <v>331</v>
      </c>
      <c r="H95" s="53">
        <v>1000</v>
      </c>
    </row>
    <row r="96" spans="1:8" x14ac:dyDescent="0.25">
      <c r="A96" s="52">
        <v>92</v>
      </c>
      <c r="B96" s="213"/>
      <c r="C96" s="46" t="s">
        <v>182</v>
      </c>
      <c r="D96" s="53">
        <v>1000</v>
      </c>
      <c r="E96" s="52">
        <v>92</v>
      </c>
      <c r="F96" s="210">
        <v>46023</v>
      </c>
      <c r="G96" s="63" t="s">
        <v>259</v>
      </c>
      <c r="H96" s="53">
        <v>2000</v>
      </c>
    </row>
    <row r="97" spans="1:8" x14ac:dyDescent="0.25">
      <c r="A97" s="52">
        <v>93</v>
      </c>
      <c r="B97" s="213"/>
      <c r="C97" s="46" t="s">
        <v>95</v>
      </c>
      <c r="D97" s="53">
        <v>1000</v>
      </c>
      <c r="E97" s="52">
        <v>93</v>
      </c>
      <c r="F97" s="211"/>
      <c r="G97" s="63" t="s">
        <v>288</v>
      </c>
      <c r="H97" s="53">
        <v>1000</v>
      </c>
    </row>
    <row r="98" spans="1:8" x14ac:dyDescent="0.25">
      <c r="A98" s="52">
        <v>94</v>
      </c>
      <c r="B98" s="213"/>
      <c r="C98" s="46" t="s">
        <v>231</v>
      </c>
      <c r="D98" s="53">
        <v>1000</v>
      </c>
      <c r="E98" s="52">
        <v>94</v>
      </c>
      <c r="F98" s="211"/>
      <c r="G98" s="63" t="s">
        <v>156</v>
      </c>
      <c r="H98" s="53">
        <v>1000</v>
      </c>
    </row>
    <row r="99" spans="1:8" x14ac:dyDescent="0.25">
      <c r="A99" s="52">
        <v>95</v>
      </c>
      <c r="B99" s="213" t="s">
        <v>232</v>
      </c>
      <c r="C99" s="46" t="s">
        <v>246</v>
      </c>
      <c r="D99" s="53">
        <v>2000</v>
      </c>
      <c r="E99" s="52">
        <v>95</v>
      </c>
      <c r="F99" s="211"/>
      <c r="G99" s="63" t="s">
        <v>292</v>
      </c>
      <c r="H99" s="53">
        <v>1000</v>
      </c>
    </row>
    <row r="100" spans="1:8" x14ac:dyDescent="0.25">
      <c r="A100" s="52">
        <v>96</v>
      </c>
      <c r="B100" s="213"/>
      <c r="C100" s="46" t="s">
        <v>82</v>
      </c>
      <c r="D100" s="53">
        <v>1000</v>
      </c>
      <c r="E100" s="52">
        <v>96</v>
      </c>
      <c r="F100" s="212"/>
      <c r="G100" s="63" t="s">
        <v>333</v>
      </c>
      <c r="H100" s="53">
        <v>1000</v>
      </c>
    </row>
    <row r="101" spans="1:8" x14ac:dyDescent="0.25">
      <c r="A101" s="52">
        <v>97</v>
      </c>
      <c r="B101" s="213"/>
      <c r="C101" s="46" t="s">
        <v>156</v>
      </c>
      <c r="D101" s="53">
        <v>1000</v>
      </c>
      <c r="E101" s="52">
        <v>97</v>
      </c>
      <c r="F101" s="210">
        <v>46026</v>
      </c>
      <c r="G101" s="63" t="s">
        <v>261</v>
      </c>
      <c r="H101" s="53">
        <v>1000</v>
      </c>
    </row>
    <row r="102" spans="1:8" x14ac:dyDescent="0.25">
      <c r="A102" s="52">
        <v>98</v>
      </c>
      <c r="B102" s="213"/>
      <c r="C102" s="46" t="s">
        <v>131</v>
      </c>
      <c r="D102" s="53">
        <v>1000</v>
      </c>
      <c r="E102" s="52">
        <v>98</v>
      </c>
      <c r="F102" s="211"/>
      <c r="G102" s="63" t="s">
        <v>262</v>
      </c>
      <c r="H102" s="53">
        <v>2000</v>
      </c>
    </row>
    <row r="103" spans="1:8" x14ac:dyDescent="0.25">
      <c r="A103" s="52">
        <v>99</v>
      </c>
      <c r="B103" s="216" t="s">
        <v>247</v>
      </c>
      <c r="C103" s="46" t="s">
        <v>172</v>
      </c>
      <c r="D103" s="53">
        <v>3000</v>
      </c>
      <c r="E103" s="52">
        <v>99</v>
      </c>
      <c r="F103" s="212"/>
      <c r="G103" s="63" t="s">
        <v>328</v>
      </c>
      <c r="H103" s="53">
        <v>2000</v>
      </c>
    </row>
    <row r="104" spans="1:8" x14ac:dyDescent="0.25">
      <c r="A104" s="52">
        <v>100</v>
      </c>
      <c r="B104" s="217"/>
      <c r="C104" s="46" t="s">
        <v>171</v>
      </c>
      <c r="D104" s="53">
        <v>1000</v>
      </c>
      <c r="E104" s="52">
        <v>100</v>
      </c>
      <c r="F104" s="210">
        <v>46028</v>
      </c>
      <c r="G104" s="63" t="s">
        <v>317</v>
      </c>
      <c r="H104" s="53">
        <v>5000</v>
      </c>
    </row>
    <row r="105" spans="1:8" x14ac:dyDescent="0.25">
      <c r="A105" s="52">
        <v>101</v>
      </c>
      <c r="B105" s="218"/>
      <c r="C105" s="46" t="s">
        <v>185</v>
      </c>
      <c r="D105" s="53">
        <v>1000</v>
      </c>
      <c r="E105" s="52">
        <v>101</v>
      </c>
      <c r="F105" s="211"/>
      <c r="G105" s="63" t="s">
        <v>377</v>
      </c>
      <c r="H105" s="53">
        <v>3000</v>
      </c>
    </row>
    <row r="106" spans="1:8" x14ac:dyDescent="0.25">
      <c r="A106" s="52">
        <v>102</v>
      </c>
      <c r="B106" s="54" t="s">
        <v>248</v>
      </c>
      <c r="C106" s="46" t="s">
        <v>128</v>
      </c>
      <c r="D106" s="53">
        <v>1000</v>
      </c>
      <c r="E106" s="52">
        <v>102</v>
      </c>
      <c r="F106" s="212"/>
      <c r="G106" s="63" t="s">
        <v>36</v>
      </c>
      <c r="H106" s="53">
        <v>1000</v>
      </c>
    </row>
    <row r="107" spans="1:8" x14ac:dyDescent="0.25">
      <c r="A107" s="52">
        <v>103</v>
      </c>
      <c r="B107" s="216">
        <v>45724</v>
      </c>
      <c r="C107" s="46" t="s">
        <v>158</v>
      </c>
      <c r="D107" s="53">
        <v>2000</v>
      </c>
      <c r="E107" s="52">
        <v>103</v>
      </c>
      <c r="F107" s="68">
        <v>46030</v>
      </c>
      <c r="G107" s="63" t="s">
        <v>314</v>
      </c>
      <c r="H107" s="53">
        <v>2000</v>
      </c>
    </row>
    <row r="108" spans="1:8" x14ac:dyDescent="0.25">
      <c r="A108" s="52">
        <v>104</v>
      </c>
      <c r="B108" s="217"/>
      <c r="C108" s="46" t="s">
        <v>157</v>
      </c>
      <c r="D108" s="53">
        <v>2000</v>
      </c>
      <c r="E108" s="52">
        <v>104</v>
      </c>
      <c r="F108" s="68">
        <v>46032</v>
      </c>
      <c r="G108" s="63" t="s">
        <v>379</v>
      </c>
      <c r="H108" s="53">
        <v>6000</v>
      </c>
    </row>
    <row r="109" spans="1:8" x14ac:dyDescent="0.25">
      <c r="A109" s="52">
        <v>105</v>
      </c>
      <c r="B109" s="217"/>
      <c r="C109" s="46" t="s">
        <v>87</v>
      </c>
      <c r="D109" s="53">
        <v>1000</v>
      </c>
      <c r="E109" s="52">
        <v>105</v>
      </c>
      <c r="F109" s="210">
        <v>46033</v>
      </c>
      <c r="G109" s="63" t="s">
        <v>313</v>
      </c>
      <c r="H109" s="53">
        <v>2000</v>
      </c>
    </row>
    <row r="110" spans="1:8" x14ac:dyDescent="0.25">
      <c r="A110" s="52">
        <v>106</v>
      </c>
      <c r="B110" s="218"/>
      <c r="C110" s="46" t="s">
        <v>114</v>
      </c>
      <c r="D110" s="53">
        <v>2000</v>
      </c>
      <c r="E110" s="52">
        <v>106</v>
      </c>
      <c r="F110" s="212"/>
      <c r="G110" s="63" t="s">
        <v>382</v>
      </c>
      <c r="H110" s="53">
        <v>2000</v>
      </c>
    </row>
    <row r="111" spans="1:8" x14ac:dyDescent="0.25">
      <c r="A111" s="52">
        <v>107</v>
      </c>
      <c r="B111" s="216">
        <v>45874</v>
      </c>
      <c r="C111" s="46" t="s">
        <v>186</v>
      </c>
      <c r="D111" s="53">
        <v>1000</v>
      </c>
      <c r="E111" s="52">
        <v>107</v>
      </c>
      <c r="F111" s="210">
        <v>46035</v>
      </c>
      <c r="G111" s="63" t="s">
        <v>231</v>
      </c>
      <c r="H111" s="53">
        <v>2000</v>
      </c>
    </row>
    <row r="112" spans="1:8" x14ac:dyDescent="0.25">
      <c r="A112" s="52">
        <v>108</v>
      </c>
      <c r="B112" s="217"/>
      <c r="C112" s="46" t="s">
        <v>177</v>
      </c>
      <c r="D112" s="53">
        <v>1000</v>
      </c>
      <c r="E112" s="52">
        <v>108</v>
      </c>
      <c r="F112" s="211"/>
      <c r="G112" s="63" t="s">
        <v>374</v>
      </c>
      <c r="H112" s="53">
        <v>1000</v>
      </c>
    </row>
    <row r="113" spans="1:8" x14ac:dyDescent="0.25">
      <c r="A113" s="52">
        <v>109</v>
      </c>
      <c r="B113" s="218"/>
      <c r="C113" s="46" t="s">
        <v>229</v>
      </c>
      <c r="D113" s="53">
        <v>2000</v>
      </c>
      <c r="E113" s="52">
        <v>109</v>
      </c>
      <c r="F113" s="211"/>
      <c r="G113" s="63" t="s">
        <v>385</v>
      </c>
      <c r="H113" s="53">
        <v>2000</v>
      </c>
    </row>
    <row r="114" spans="1:8" x14ac:dyDescent="0.25">
      <c r="A114" s="52">
        <v>110</v>
      </c>
      <c r="B114" s="216">
        <v>45876</v>
      </c>
      <c r="C114" s="46" t="s">
        <v>186</v>
      </c>
      <c r="D114" s="53">
        <v>1000</v>
      </c>
      <c r="E114" s="52">
        <v>110</v>
      </c>
      <c r="F114" s="211"/>
      <c r="G114" s="63" t="s">
        <v>87</v>
      </c>
      <c r="H114" s="53">
        <v>1000</v>
      </c>
    </row>
    <row r="115" spans="1:8" x14ac:dyDescent="0.25">
      <c r="A115" s="52">
        <v>111</v>
      </c>
      <c r="B115" s="218"/>
      <c r="C115" s="46" t="s">
        <v>187</v>
      </c>
      <c r="D115" s="53">
        <v>1000</v>
      </c>
      <c r="E115" s="52">
        <v>111</v>
      </c>
      <c r="F115" s="211"/>
      <c r="G115" s="63" t="s">
        <v>182</v>
      </c>
      <c r="H115" s="53">
        <v>1000</v>
      </c>
    </row>
    <row r="116" spans="1:8" x14ac:dyDescent="0.25">
      <c r="A116" s="52"/>
      <c r="B116" s="154"/>
      <c r="C116" s="46"/>
      <c r="D116" s="53"/>
      <c r="E116" s="52">
        <v>112</v>
      </c>
      <c r="F116" s="212"/>
      <c r="G116" s="63" t="s">
        <v>329</v>
      </c>
      <c r="H116" s="53">
        <v>1000</v>
      </c>
    </row>
    <row r="117" spans="1:8" x14ac:dyDescent="0.25">
      <c r="A117" s="52"/>
      <c r="B117" s="154"/>
      <c r="C117" s="46"/>
      <c r="D117" s="53"/>
      <c r="E117" s="52">
        <v>113</v>
      </c>
      <c r="F117" s="210">
        <v>46037</v>
      </c>
      <c r="G117" s="63" t="s">
        <v>229</v>
      </c>
      <c r="H117" s="53">
        <v>2000</v>
      </c>
    </row>
    <row r="118" spans="1:8" x14ac:dyDescent="0.25">
      <c r="A118" s="52"/>
      <c r="B118" s="154"/>
      <c r="C118" s="46"/>
      <c r="D118" s="53"/>
      <c r="E118" s="52">
        <v>114</v>
      </c>
      <c r="F118" s="211"/>
      <c r="G118" s="63" t="s">
        <v>117</v>
      </c>
      <c r="H118" s="53">
        <v>2000</v>
      </c>
    </row>
    <row r="119" spans="1:8" x14ac:dyDescent="0.25">
      <c r="A119" s="52"/>
      <c r="B119" s="154"/>
      <c r="C119" s="46"/>
      <c r="D119" s="53"/>
      <c r="E119" s="52">
        <v>115</v>
      </c>
      <c r="F119" s="211"/>
      <c r="G119" s="63" t="s">
        <v>269</v>
      </c>
      <c r="H119" s="53">
        <v>1000</v>
      </c>
    </row>
    <row r="120" spans="1:8" x14ac:dyDescent="0.25">
      <c r="A120" s="52"/>
      <c r="B120" s="154"/>
      <c r="C120" s="46"/>
      <c r="D120" s="53"/>
      <c r="E120" s="52">
        <v>116</v>
      </c>
      <c r="F120" s="211"/>
      <c r="G120" s="63" t="s">
        <v>322</v>
      </c>
      <c r="H120" s="53">
        <v>1000</v>
      </c>
    </row>
    <row r="121" spans="1:8" x14ac:dyDescent="0.25">
      <c r="A121" s="52"/>
      <c r="B121" s="154"/>
      <c r="C121" s="46"/>
      <c r="D121" s="53"/>
      <c r="E121" s="52">
        <v>117</v>
      </c>
      <c r="F121" s="211"/>
      <c r="G121" s="63" t="s">
        <v>187</v>
      </c>
      <c r="H121" s="53">
        <v>1000</v>
      </c>
    </row>
    <row r="122" spans="1:8" x14ac:dyDescent="0.25">
      <c r="A122" s="52"/>
      <c r="B122" s="154"/>
      <c r="C122" s="46"/>
      <c r="D122" s="53"/>
      <c r="E122" s="52">
        <v>118</v>
      </c>
      <c r="F122" s="212"/>
      <c r="G122" s="63" t="s">
        <v>263</v>
      </c>
      <c r="H122" s="53">
        <v>1000</v>
      </c>
    </row>
    <row r="123" spans="1:8" x14ac:dyDescent="0.25">
      <c r="A123" s="52"/>
      <c r="B123" s="154"/>
      <c r="C123" s="46"/>
      <c r="D123" s="53"/>
      <c r="E123" s="52">
        <v>119</v>
      </c>
      <c r="F123" s="68">
        <v>46038</v>
      </c>
      <c r="G123" s="63" t="s">
        <v>67</v>
      </c>
      <c r="H123" s="53">
        <v>3000</v>
      </c>
    </row>
    <row r="124" spans="1:8" x14ac:dyDescent="0.25">
      <c r="A124" s="52"/>
      <c r="B124" s="154"/>
      <c r="C124" s="46"/>
      <c r="D124" s="53"/>
      <c r="E124" s="52">
        <v>120</v>
      </c>
      <c r="F124" s="210">
        <v>46040</v>
      </c>
      <c r="G124" s="63" t="s">
        <v>98</v>
      </c>
      <c r="H124" s="53">
        <v>2000</v>
      </c>
    </row>
    <row r="125" spans="1:8" x14ac:dyDescent="0.25">
      <c r="A125" s="52"/>
      <c r="B125" s="154"/>
      <c r="C125" s="46"/>
      <c r="D125" s="53"/>
      <c r="E125" s="52">
        <v>121</v>
      </c>
      <c r="F125" s="212"/>
      <c r="G125" s="63" t="s">
        <v>289</v>
      </c>
      <c r="H125" s="53">
        <v>1000</v>
      </c>
    </row>
    <row r="126" spans="1:8" x14ac:dyDescent="0.25">
      <c r="A126" s="52"/>
      <c r="B126" s="154"/>
      <c r="C126" s="46"/>
      <c r="D126" s="53"/>
      <c r="E126" s="52">
        <v>122</v>
      </c>
      <c r="F126" s="68">
        <v>46046</v>
      </c>
      <c r="G126" s="63" t="s">
        <v>377</v>
      </c>
      <c r="H126" s="53">
        <v>-3000</v>
      </c>
    </row>
    <row r="127" spans="1:8" x14ac:dyDescent="0.25">
      <c r="A127" s="52"/>
      <c r="B127" s="154"/>
      <c r="C127" s="46"/>
      <c r="D127" s="53"/>
      <c r="E127" s="52">
        <v>123</v>
      </c>
      <c r="F127" s="210">
        <v>46105</v>
      </c>
      <c r="G127" s="63" t="s">
        <v>314</v>
      </c>
      <c r="H127" s="53">
        <v>2000</v>
      </c>
    </row>
    <row r="128" spans="1:8" x14ac:dyDescent="0.25">
      <c r="A128" s="52"/>
      <c r="B128" s="154"/>
      <c r="C128" s="46"/>
      <c r="D128" s="53"/>
      <c r="E128" s="52">
        <v>124</v>
      </c>
      <c r="F128" s="211"/>
      <c r="G128" s="63" t="s">
        <v>182</v>
      </c>
      <c r="H128" s="53">
        <v>1000</v>
      </c>
    </row>
    <row r="129" spans="1:8" x14ac:dyDescent="0.25">
      <c r="A129" s="52"/>
      <c r="B129" s="154"/>
      <c r="C129" s="46"/>
      <c r="D129" s="53"/>
      <c r="E129" s="52">
        <v>125</v>
      </c>
      <c r="F129" s="211"/>
      <c r="G129" s="63" t="s">
        <v>391</v>
      </c>
      <c r="H129" s="53">
        <v>6000</v>
      </c>
    </row>
    <row r="130" spans="1:8" x14ac:dyDescent="0.25">
      <c r="A130" s="52"/>
      <c r="B130" s="154"/>
      <c r="C130" s="46"/>
      <c r="D130" s="53"/>
      <c r="E130" s="52">
        <v>126</v>
      </c>
      <c r="F130" s="211"/>
      <c r="G130" s="63" t="s">
        <v>87</v>
      </c>
      <c r="H130" s="53">
        <v>1000</v>
      </c>
    </row>
    <row r="131" spans="1:8" x14ac:dyDescent="0.25">
      <c r="A131" s="52"/>
      <c r="B131" s="154"/>
      <c r="C131" s="46"/>
      <c r="D131" s="53"/>
      <c r="E131" s="52">
        <v>127</v>
      </c>
      <c r="F131" s="211"/>
      <c r="G131" s="63" t="s">
        <v>421</v>
      </c>
      <c r="H131" s="53">
        <v>2000</v>
      </c>
    </row>
    <row r="132" spans="1:8" x14ac:dyDescent="0.25">
      <c r="A132" s="52"/>
      <c r="B132" s="154"/>
      <c r="C132" s="46"/>
      <c r="D132" s="53"/>
      <c r="E132" s="52">
        <v>128</v>
      </c>
      <c r="F132" s="212"/>
      <c r="G132" s="63" t="s">
        <v>392</v>
      </c>
      <c r="H132" s="53">
        <v>3000</v>
      </c>
    </row>
    <row r="133" spans="1:8" x14ac:dyDescent="0.25">
      <c r="A133" s="52"/>
      <c r="B133" s="154"/>
      <c r="C133" s="46"/>
      <c r="D133" s="53"/>
      <c r="E133" s="52">
        <v>129</v>
      </c>
      <c r="F133" s="211">
        <v>46107</v>
      </c>
      <c r="G133" s="63" t="s">
        <v>392</v>
      </c>
      <c r="H133" s="53">
        <v>1500</v>
      </c>
    </row>
    <row r="134" spans="1:8" x14ac:dyDescent="0.25">
      <c r="A134" s="52"/>
      <c r="B134" s="154"/>
      <c r="C134" s="46"/>
      <c r="D134" s="53"/>
      <c r="E134" s="52">
        <v>130</v>
      </c>
      <c r="F134" s="212"/>
      <c r="G134" s="63" t="s">
        <v>421</v>
      </c>
      <c r="H134" s="53">
        <v>1000</v>
      </c>
    </row>
    <row r="135" spans="1:8" x14ac:dyDescent="0.25">
      <c r="A135" s="52"/>
      <c r="B135" s="154"/>
      <c r="C135" s="46"/>
      <c r="D135" s="53"/>
      <c r="E135" s="52">
        <v>131</v>
      </c>
      <c r="F135" s="210">
        <v>46110</v>
      </c>
      <c r="G135" s="63" t="s">
        <v>397</v>
      </c>
      <c r="H135" s="53">
        <v>2000</v>
      </c>
    </row>
    <row r="136" spans="1:8" x14ac:dyDescent="0.25">
      <c r="A136" s="52"/>
      <c r="B136" s="154"/>
      <c r="C136" s="46"/>
      <c r="D136" s="53"/>
      <c r="E136" s="52">
        <v>132</v>
      </c>
      <c r="F136" s="212"/>
      <c r="G136" s="63" t="s">
        <v>263</v>
      </c>
      <c r="H136" s="53">
        <v>1000</v>
      </c>
    </row>
    <row r="137" spans="1:8" x14ac:dyDescent="0.25">
      <c r="A137" s="52"/>
      <c r="B137" s="154"/>
      <c r="C137" s="46"/>
      <c r="D137" s="53"/>
      <c r="E137" s="52">
        <v>133</v>
      </c>
      <c r="F137" s="210">
        <v>46112</v>
      </c>
      <c r="G137" s="63" t="s">
        <v>405</v>
      </c>
      <c r="H137" s="53">
        <v>10500</v>
      </c>
    </row>
    <row r="138" spans="1:8" x14ac:dyDescent="0.25">
      <c r="A138" s="52"/>
      <c r="B138" s="154"/>
      <c r="C138" s="46"/>
      <c r="D138" s="53"/>
      <c r="E138" s="52">
        <v>134</v>
      </c>
      <c r="F138" s="211"/>
      <c r="G138" s="63" t="s">
        <v>172</v>
      </c>
      <c r="H138" s="53">
        <v>6000</v>
      </c>
    </row>
    <row r="139" spans="1:8" x14ac:dyDescent="0.25">
      <c r="A139" s="52"/>
      <c r="B139" s="154"/>
      <c r="C139" s="46"/>
      <c r="D139" s="53"/>
      <c r="E139" s="52">
        <v>135</v>
      </c>
      <c r="F139" s="211"/>
      <c r="G139" s="63" t="s">
        <v>269</v>
      </c>
      <c r="H139" s="53">
        <v>2000</v>
      </c>
    </row>
    <row r="140" spans="1:8" x14ac:dyDescent="0.25">
      <c r="A140" s="52"/>
      <c r="B140" s="154"/>
      <c r="C140" s="46"/>
      <c r="D140" s="53"/>
      <c r="E140" s="52">
        <v>136</v>
      </c>
      <c r="F140" s="211"/>
      <c r="G140" s="63" t="s">
        <v>399</v>
      </c>
      <c r="H140" s="53">
        <v>3000</v>
      </c>
    </row>
    <row r="141" spans="1:8" x14ac:dyDescent="0.25">
      <c r="A141" s="52"/>
      <c r="B141" s="154"/>
      <c r="C141" s="46"/>
      <c r="D141" s="53"/>
      <c r="E141" s="52">
        <v>137</v>
      </c>
      <c r="F141" s="212"/>
      <c r="G141" s="63" t="s">
        <v>231</v>
      </c>
      <c r="H141" s="53">
        <v>3000</v>
      </c>
    </row>
    <row r="142" spans="1:8" x14ac:dyDescent="0.25">
      <c r="A142" s="52"/>
      <c r="B142" s="154"/>
      <c r="C142" s="46"/>
      <c r="D142" s="53"/>
      <c r="E142" s="52">
        <v>138</v>
      </c>
      <c r="F142" s="210">
        <v>46114</v>
      </c>
      <c r="G142" s="63" t="s">
        <v>392</v>
      </c>
      <c r="H142" s="53">
        <v>1000</v>
      </c>
    </row>
    <row r="143" spans="1:8" x14ac:dyDescent="0.25">
      <c r="A143" s="52"/>
      <c r="B143" s="154"/>
      <c r="C143" s="46"/>
      <c r="D143" s="53"/>
      <c r="E143" s="52">
        <v>139</v>
      </c>
      <c r="F143" s="211"/>
      <c r="G143" s="63" t="s">
        <v>406</v>
      </c>
      <c r="H143" s="53">
        <v>6000</v>
      </c>
    </row>
    <row r="144" spans="1:8" x14ac:dyDescent="0.25">
      <c r="A144" s="52"/>
      <c r="B144" s="154"/>
      <c r="C144" s="46"/>
      <c r="D144" s="53"/>
      <c r="E144" s="52">
        <v>140</v>
      </c>
      <c r="F144" s="211"/>
      <c r="G144" s="63" t="s">
        <v>394</v>
      </c>
      <c r="H144" s="53">
        <v>3000</v>
      </c>
    </row>
    <row r="145" spans="1:8" x14ac:dyDescent="0.25">
      <c r="A145" s="52"/>
      <c r="B145" s="154"/>
      <c r="C145" s="46"/>
      <c r="D145" s="53"/>
      <c r="E145" s="52">
        <v>141</v>
      </c>
      <c r="F145" s="211"/>
      <c r="G145" s="63" t="s">
        <v>328</v>
      </c>
      <c r="H145" s="53">
        <v>2000</v>
      </c>
    </row>
    <row r="146" spans="1:8" x14ac:dyDescent="0.25">
      <c r="A146" s="52"/>
      <c r="B146" s="154"/>
      <c r="C146" s="46"/>
      <c r="D146" s="53"/>
      <c r="E146" s="52">
        <v>142</v>
      </c>
      <c r="F146" s="212"/>
      <c r="G146" s="63" t="s">
        <v>292</v>
      </c>
      <c r="H146" s="53">
        <v>1000</v>
      </c>
    </row>
    <row r="147" spans="1:8" x14ac:dyDescent="0.25">
      <c r="A147" s="52"/>
      <c r="B147" s="154"/>
      <c r="C147" s="46"/>
      <c r="D147" s="53"/>
      <c r="E147" s="52">
        <v>143</v>
      </c>
      <c r="F147" s="165">
        <v>46117</v>
      </c>
      <c r="G147" s="63" t="s">
        <v>261</v>
      </c>
      <c r="H147" s="53">
        <v>2000</v>
      </c>
    </row>
    <row r="148" spans="1:8" x14ac:dyDescent="0.25">
      <c r="A148" s="52"/>
      <c r="B148" s="154"/>
      <c r="C148" s="46"/>
      <c r="D148" s="53"/>
      <c r="E148" s="52">
        <v>144</v>
      </c>
      <c r="F148" s="220">
        <v>46119</v>
      </c>
      <c r="G148" s="63" t="s">
        <v>117</v>
      </c>
      <c r="H148" s="53">
        <v>2000</v>
      </c>
    </row>
    <row r="149" spans="1:8" x14ac:dyDescent="0.25">
      <c r="A149" s="52"/>
      <c r="B149" s="154"/>
      <c r="C149" s="46"/>
      <c r="D149" s="53"/>
      <c r="E149" s="52">
        <v>145</v>
      </c>
      <c r="F149" s="221"/>
      <c r="G149" s="63" t="s">
        <v>229</v>
      </c>
      <c r="H149" s="53">
        <v>2000</v>
      </c>
    </row>
    <row r="150" spans="1:8" x14ac:dyDescent="0.25">
      <c r="A150" s="52"/>
      <c r="B150" s="154"/>
      <c r="C150" s="46"/>
      <c r="D150" s="53"/>
      <c r="E150" s="52">
        <v>146</v>
      </c>
      <c r="F150" s="221"/>
      <c r="G150" s="63" t="s">
        <v>36</v>
      </c>
      <c r="H150" s="53">
        <v>2000</v>
      </c>
    </row>
    <row r="151" spans="1:8" x14ac:dyDescent="0.25">
      <c r="A151" s="52"/>
      <c r="B151" s="154"/>
      <c r="C151" s="46"/>
      <c r="D151" s="53"/>
      <c r="E151" s="52">
        <v>147</v>
      </c>
      <c r="F151" s="222"/>
      <c r="G151" s="63" t="s">
        <v>270</v>
      </c>
      <c r="H151" s="53">
        <v>2000</v>
      </c>
    </row>
    <row r="152" spans="1:8" x14ac:dyDescent="0.25">
      <c r="A152" s="52"/>
      <c r="B152" s="154"/>
      <c r="C152" s="46"/>
      <c r="D152" s="53"/>
      <c r="E152" s="52">
        <v>148</v>
      </c>
      <c r="F152" s="210">
        <v>46121</v>
      </c>
      <c r="G152" s="63" t="s">
        <v>314</v>
      </c>
      <c r="H152" s="53">
        <v>4000</v>
      </c>
    </row>
    <row r="153" spans="1:8" x14ac:dyDescent="0.25">
      <c r="A153" s="52"/>
      <c r="B153" s="154"/>
      <c r="C153" s="46"/>
      <c r="D153" s="53"/>
      <c r="E153" s="52">
        <v>149</v>
      </c>
      <c r="F153" s="212"/>
      <c r="G153" s="63" t="s">
        <v>412</v>
      </c>
      <c r="H153" s="53">
        <v>10500</v>
      </c>
    </row>
    <row r="154" spans="1:8" x14ac:dyDescent="0.25">
      <c r="A154" s="52"/>
      <c r="B154" s="154"/>
      <c r="C154" s="46"/>
      <c r="D154" s="53"/>
      <c r="E154" s="52">
        <v>150</v>
      </c>
      <c r="F154" s="210">
        <v>46124</v>
      </c>
      <c r="G154" s="63" t="s">
        <v>391</v>
      </c>
      <c r="H154" s="53">
        <v>2000</v>
      </c>
    </row>
    <row r="155" spans="1:8" x14ac:dyDescent="0.25">
      <c r="A155" s="52"/>
      <c r="B155" s="154"/>
      <c r="C155" s="46"/>
      <c r="D155" s="53"/>
      <c r="E155" s="52">
        <v>151</v>
      </c>
      <c r="F155" s="212"/>
      <c r="G155" s="63" t="s">
        <v>409</v>
      </c>
      <c r="H155" s="53">
        <v>6000</v>
      </c>
    </row>
    <row r="156" spans="1:8" x14ac:dyDescent="0.25">
      <c r="A156" s="52"/>
      <c r="B156" s="154"/>
      <c r="C156" s="46"/>
      <c r="D156" s="53"/>
      <c r="E156" s="52">
        <v>152</v>
      </c>
      <c r="F156" s="210">
        <v>46126</v>
      </c>
      <c r="G156" s="63" t="s">
        <v>418</v>
      </c>
      <c r="H156" s="53">
        <v>6000</v>
      </c>
    </row>
    <row r="157" spans="1:8" x14ac:dyDescent="0.25">
      <c r="A157" s="52"/>
      <c r="B157" s="154"/>
      <c r="C157" s="46"/>
      <c r="D157" s="53"/>
      <c r="E157" s="52">
        <v>153</v>
      </c>
      <c r="F157" s="212"/>
      <c r="G157" s="63" t="s">
        <v>87</v>
      </c>
      <c r="H157" s="53">
        <v>1000</v>
      </c>
    </row>
    <row r="158" spans="1:8" x14ac:dyDescent="0.25">
      <c r="A158" s="52"/>
      <c r="B158" s="154"/>
      <c r="C158" s="46"/>
      <c r="D158" s="53"/>
      <c r="E158" s="52">
        <v>154</v>
      </c>
      <c r="F158" s="210">
        <v>46128</v>
      </c>
      <c r="G158" s="63" t="s">
        <v>322</v>
      </c>
      <c r="H158" s="53">
        <v>1000</v>
      </c>
    </row>
    <row r="159" spans="1:8" x14ac:dyDescent="0.25">
      <c r="A159" s="52"/>
      <c r="B159" s="154"/>
      <c r="C159" s="46"/>
      <c r="D159" s="53"/>
      <c r="E159" s="52">
        <v>155</v>
      </c>
      <c r="F159" s="212"/>
      <c r="G159" s="63" t="s">
        <v>370</v>
      </c>
      <c r="H159" s="53">
        <v>3000</v>
      </c>
    </row>
    <row r="160" spans="1:8" x14ac:dyDescent="0.25">
      <c r="A160" s="52"/>
      <c r="B160" s="154"/>
      <c r="C160" s="46"/>
      <c r="D160" s="53"/>
      <c r="E160" s="52">
        <v>156</v>
      </c>
      <c r="F160" s="210">
        <v>46131</v>
      </c>
      <c r="G160" s="63" t="s">
        <v>422</v>
      </c>
      <c r="H160" s="53">
        <v>1500</v>
      </c>
    </row>
    <row r="161" spans="1:8" x14ac:dyDescent="0.25">
      <c r="A161" s="52"/>
      <c r="B161" s="154"/>
      <c r="C161" s="46"/>
      <c r="D161" s="53"/>
      <c r="E161" s="52">
        <v>157</v>
      </c>
      <c r="F161" s="211"/>
      <c r="G161" s="63" t="s">
        <v>156</v>
      </c>
      <c r="H161" s="53">
        <v>1000</v>
      </c>
    </row>
    <row r="162" spans="1:8" x14ac:dyDescent="0.25">
      <c r="A162" s="52"/>
      <c r="B162" s="154"/>
      <c r="C162" s="46"/>
      <c r="D162" s="53"/>
      <c r="E162" s="52">
        <v>158</v>
      </c>
      <c r="F162" s="212"/>
      <c r="G162" s="63" t="s">
        <v>98</v>
      </c>
      <c r="H162" s="53">
        <v>2000</v>
      </c>
    </row>
    <row r="163" spans="1:8" x14ac:dyDescent="0.25">
      <c r="A163" s="52"/>
      <c r="B163" s="154"/>
      <c r="C163" s="46"/>
      <c r="D163" s="53"/>
      <c r="E163" s="52">
        <v>159</v>
      </c>
      <c r="F163" s="210">
        <v>46133</v>
      </c>
      <c r="G163" s="63" t="s">
        <v>313</v>
      </c>
      <c r="H163" s="53">
        <v>2000</v>
      </c>
    </row>
    <row r="164" spans="1:8" x14ac:dyDescent="0.25">
      <c r="A164" s="52"/>
      <c r="B164" s="154"/>
      <c r="C164" s="46"/>
      <c r="D164" s="53"/>
      <c r="E164" s="52">
        <v>160</v>
      </c>
      <c r="F164" s="212"/>
      <c r="G164" s="63" t="s">
        <v>425</v>
      </c>
      <c r="H164" s="53">
        <v>1000</v>
      </c>
    </row>
    <row r="165" spans="1:8" x14ac:dyDescent="0.25">
      <c r="A165" s="52"/>
      <c r="B165" s="154"/>
      <c r="C165" s="46"/>
      <c r="D165" s="53"/>
      <c r="E165" s="52">
        <v>161</v>
      </c>
      <c r="F165" s="210">
        <v>46135</v>
      </c>
      <c r="G165" s="63" t="s">
        <v>269</v>
      </c>
      <c r="H165" s="53">
        <v>3000</v>
      </c>
    </row>
    <row r="166" spans="1:8" x14ac:dyDescent="0.25">
      <c r="A166" s="52"/>
      <c r="B166" s="154"/>
      <c r="C166" s="46"/>
      <c r="D166" s="53"/>
      <c r="E166" s="52">
        <v>162</v>
      </c>
      <c r="F166" s="212"/>
      <c r="G166" s="63" t="s">
        <v>431</v>
      </c>
      <c r="H166" s="53">
        <v>1000</v>
      </c>
    </row>
    <row r="167" spans="1:8" x14ac:dyDescent="0.25">
      <c r="A167" s="52"/>
      <c r="B167" s="154"/>
      <c r="C167" s="46"/>
      <c r="D167" s="53"/>
      <c r="E167" s="52">
        <v>163</v>
      </c>
      <c r="F167" s="210">
        <v>46138</v>
      </c>
      <c r="G167" s="63" t="s">
        <v>182</v>
      </c>
      <c r="H167" s="53">
        <v>1000</v>
      </c>
    </row>
    <row r="168" spans="1:8" x14ac:dyDescent="0.25">
      <c r="A168" s="52"/>
      <c r="B168" s="154"/>
      <c r="C168" s="46"/>
      <c r="D168" s="53"/>
      <c r="E168" s="52">
        <v>164</v>
      </c>
      <c r="F168" s="212"/>
      <c r="G168" s="63" t="s">
        <v>331</v>
      </c>
      <c r="H168" s="53">
        <v>1000</v>
      </c>
    </row>
    <row r="169" spans="1:8" x14ac:dyDescent="0.25">
      <c r="A169" s="52"/>
      <c r="B169" s="154"/>
      <c r="C169" s="46"/>
      <c r="D169" s="53"/>
      <c r="E169" s="52">
        <v>165</v>
      </c>
      <c r="F169" s="165">
        <v>46139</v>
      </c>
      <c r="G169" s="63" t="s">
        <v>187</v>
      </c>
      <c r="H169" s="53">
        <v>1000</v>
      </c>
    </row>
    <row r="170" spans="1:8" x14ac:dyDescent="0.25">
      <c r="A170" s="52"/>
      <c r="B170" s="154"/>
      <c r="C170" s="46"/>
      <c r="D170" s="53"/>
      <c r="E170" s="52">
        <v>166</v>
      </c>
      <c r="F170" s="210">
        <v>46140</v>
      </c>
      <c r="G170" s="63" t="s">
        <v>172</v>
      </c>
      <c r="H170" s="53">
        <v>4500</v>
      </c>
    </row>
    <row r="171" spans="1:8" x14ac:dyDescent="0.25">
      <c r="A171" s="52"/>
      <c r="B171" s="154"/>
      <c r="C171" s="46"/>
      <c r="D171" s="53"/>
      <c r="E171" s="52">
        <v>167</v>
      </c>
      <c r="F171" s="211"/>
      <c r="G171" s="63" t="s">
        <v>435</v>
      </c>
      <c r="H171" s="53">
        <v>4500</v>
      </c>
    </row>
    <row r="172" spans="1:8" x14ac:dyDescent="0.25">
      <c r="A172" s="52"/>
      <c r="B172" s="154"/>
      <c r="C172" s="46"/>
      <c r="D172" s="53"/>
      <c r="E172" s="52">
        <v>168</v>
      </c>
      <c r="F172" s="211"/>
      <c r="G172" s="63" t="s">
        <v>406</v>
      </c>
      <c r="H172" s="53">
        <v>2000</v>
      </c>
    </row>
    <row r="173" spans="1:8" x14ac:dyDescent="0.25">
      <c r="A173" s="52"/>
      <c r="B173" s="154"/>
      <c r="C173" s="46"/>
      <c r="D173" s="53"/>
      <c r="E173" s="52">
        <v>169</v>
      </c>
      <c r="F173" s="212"/>
      <c r="G173" s="63" t="s">
        <v>263</v>
      </c>
      <c r="H173" s="53">
        <v>1000</v>
      </c>
    </row>
    <row r="174" spans="1:8" x14ac:dyDescent="0.25">
      <c r="A174" s="52"/>
      <c r="B174" s="154"/>
      <c r="C174" s="46"/>
      <c r="D174" s="53"/>
      <c r="E174" s="52">
        <v>170</v>
      </c>
      <c r="F174" s="165"/>
      <c r="G174" s="63"/>
      <c r="H174" s="53"/>
    </row>
    <row r="175" spans="1:8" x14ac:dyDescent="0.25">
      <c r="A175" s="52"/>
      <c r="B175" s="154"/>
      <c r="C175" s="46"/>
      <c r="D175" s="53"/>
      <c r="E175" s="52">
        <v>171</v>
      </c>
      <c r="F175" s="165"/>
      <c r="G175" s="63"/>
      <c r="H175" s="53"/>
    </row>
    <row r="176" spans="1:8" x14ac:dyDescent="0.25">
      <c r="A176" s="52"/>
      <c r="B176" s="154"/>
      <c r="C176" s="46"/>
      <c r="D176" s="53"/>
      <c r="E176" s="52">
        <v>172</v>
      </c>
      <c r="F176" s="165"/>
      <c r="G176" s="63"/>
      <c r="H176" s="53"/>
    </row>
    <row r="177" spans="1:8" x14ac:dyDescent="0.25">
      <c r="A177" s="52"/>
      <c r="B177" s="154"/>
      <c r="C177" s="46"/>
      <c r="D177" s="53"/>
      <c r="E177" s="52">
        <v>173</v>
      </c>
      <c r="F177" s="165"/>
      <c r="G177" s="63"/>
      <c r="H177" s="53"/>
    </row>
    <row r="178" spans="1:8" x14ac:dyDescent="0.25">
      <c r="A178" s="52"/>
      <c r="B178" s="154"/>
      <c r="C178" s="46"/>
      <c r="D178" s="53"/>
      <c r="E178" s="52">
        <v>174</v>
      </c>
      <c r="F178" s="165"/>
      <c r="G178" s="63"/>
      <c r="H178" s="53"/>
    </row>
    <row r="179" spans="1:8" x14ac:dyDescent="0.25">
      <c r="A179" s="52"/>
      <c r="B179" s="154"/>
      <c r="C179" s="46"/>
      <c r="D179" s="53"/>
      <c r="E179" s="52">
        <v>175</v>
      </c>
      <c r="F179" s="165"/>
      <c r="G179" s="63"/>
      <c r="H179" s="53"/>
    </row>
    <row r="180" spans="1:8" x14ac:dyDescent="0.25">
      <c r="A180" s="52"/>
      <c r="B180" s="154"/>
      <c r="C180" s="46"/>
      <c r="D180" s="53"/>
      <c r="E180" s="52">
        <v>176</v>
      </c>
      <c r="F180" s="165"/>
      <c r="G180" s="63"/>
      <c r="H180" s="53"/>
    </row>
    <row r="181" spans="1:8" x14ac:dyDescent="0.25">
      <c r="A181" s="52"/>
      <c r="B181" s="154"/>
      <c r="C181" s="46"/>
      <c r="D181" s="53"/>
      <c r="E181" s="52">
        <v>177</v>
      </c>
      <c r="F181" s="165"/>
      <c r="G181" s="63"/>
      <c r="H181" s="53"/>
    </row>
    <row r="182" spans="1:8" x14ac:dyDescent="0.25">
      <c r="A182" s="52"/>
      <c r="B182" s="154"/>
      <c r="C182" s="46"/>
      <c r="D182" s="53"/>
      <c r="E182" s="52">
        <v>178</v>
      </c>
      <c r="F182" s="165"/>
      <c r="G182" s="63"/>
      <c r="H182" s="53"/>
    </row>
    <row r="183" spans="1:8" x14ac:dyDescent="0.25">
      <c r="A183" s="52"/>
      <c r="B183" s="154"/>
      <c r="C183" s="46"/>
      <c r="D183" s="53"/>
      <c r="E183" s="52">
        <v>179</v>
      </c>
      <c r="F183" s="165"/>
      <c r="G183" s="63"/>
      <c r="H183" s="53"/>
    </row>
    <row r="184" spans="1:8" x14ac:dyDescent="0.25">
      <c r="A184" s="52"/>
      <c r="B184" s="154"/>
      <c r="C184" s="46"/>
      <c r="D184" s="53"/>
      <c r="E184" s="52">
        <v>180</v>
      </c>
      <c r="F184" s="165"/>
      <c r="G184" s="63"/>
      <c r="H184" s="53"/>
    </row>
    <row r="185" spans="1:8" x14ac:dyDescent="0.25">
      <c r="A185" s="52"/>
      <c r="B185" s="154"/>
      <c r="C185" s="46"/>
      <c r="D185" s="53"/>
      <c r="E185" s="52">
        <v>181</v>
      </c>
      <c r="F185" s="165"/>
      <c r="G185" s="63"/>
      <c r="H185" s="53"/>
    </row>
    <row r="186" spans="1:8" x14ac:dyDescent="0.25">
      <c r="A186" s="52"/>
      <c r="B186" s="154"/>
      <c r="C186" s="46"/>
      <c r="D186" s="53"/>
      <c r="E186" s="52">
        <v>182</v>
      </c>
      <c r="F186" s="165"/>
      <c r="G186" s="63"/>
      <c r="H186" s="53"/>
    </row>
    <row r="187" spans="1:8" x14ac:dyDescent="0.25">
      <c r="A187" s="52"/>
      <c r="B187" s="154"/>
      <c r="C187" s="46"/>
      <c r="D187" s="53"/>
      <c r="E187" s="52">
        <v>183</v>
      </c>
      <c r="F187" s="165"/>
      <c r="G187" s="63"/>
      <c r="H187" s="53"/>
    </row>
    <row r="188" spans="1:8" x14ac:dyDescent="0.25">
      <c r="A188" s="52"/>
      <c r="B188" s="154"/>
      <c r="C188" s="46"/>
      <c r="D188" s="53"/>
      <c r="E188" s="52">
        <v>184</v>
      </c>
      <c r="F188" s="165"/>
      <c r="G188" s="63"/>
      <c r="H188" s="53"/>
    </row>
    <row r="189" spans="1:8" x14ac:dyDescent="0.25">
      <c r="A189" s="52"/>
      <c r="B189" s="154"/>
      <c r="C189" s="46"/>
      <c r="D189" s="53"/>
      <c r="E189" s="52">
        <v>185</v>
      </c>
      <c r="F189" s="68"/>
      <c r="G189" s="63"/>
      <c r="H189" s="53"/>
    </row>
    <row r="190" spans="1:8" x14ac:dyDescent="0.25">
      <c r="A190" s="52"/>
      <c r="B190" s="154"/>
      <c r="C190" s="46"/>
      <c r="D190" s="53"/>
      <c r="E190" s="52">
        <v>186</v>
      </c>
      <c r="F190" s="68"/>
      <c r="G190" s="63"/>
      <c r="H190" s="53"/>
    </row>
    <row r="191" spans="1:8" x14ac:dyDescent="0.25">
      <c r="A191" s="52"/>
      <c r="B191" s="154"/>
      <c r="C191" s="46"/>
      <c r="D191" s="53"/>
      <c r="E191" s="52">
        <v>187</v>
      </c>
      <c r="F191" s="68"/>
      <c r="G191" s="63"/>
      <c r="H191" s="53"/>
    </row>
    <row r="192" spans="1:8" x14ac:dyDescent="0.25">
      <c r="A192" s="52"/>
      <c r="B192" s="154"/>
      <c r="C192" s="46"/>
      <c r="D192" s="53"/>
      <c r="E192" s="52">
        <v>188</v>
      </c>
      <c r="F192" s="68"/>
      <c r="G192" s="63"/>
      <c r="H192" s="53"/>
    </row>
    <row r="193" spans="1:8" x14ac:dyDescent="0.25">
      <c r="A193" s="52"/>
      <c r="B193" s="154"/>
      <c r="C193" s="46"/>
      <c r="D193" s="53"/>
      <c r="E193" s="52">
        <v>189</v>
      </c>
      <c r="F193" s="68"/>
      <c r="G193" s="63"/>
      <c r="H193" s="53"/>
    </row>
    <row r="194" spans="1:8" x14ac:dyDescent="0.25">
      <c r="A194" s="52"/>
      <c r="B194" s="154"/>
      <c r="C194" s="46"/>
      <c r="D194" s="53"/>
      <c r="E194" s="52">
        <v>190</v>
      </c>
      <c r="F194" s="68"/>
      <c r="G194" s="63"/>
      <c r="H194" s="53"/>
    </row>
    <row r="195" spans="1:8" x14ac:dyDescent="0.25">
      <c r="A195" s="52">
        <v>112</v>
      </c>
      <c r="B195" s="54"/>
      <c r="C195" s="46"/>
      <c r="D195" s="53"/>
      <c r="E195" s="52">
        <v>191</v>
      </c>
      <c r="F195" s="68"/>
      <c r="G195" s="63"/>
      <c r="H195" s="53"/>
    </row>
    <row r="196" spans="1:8" x14ac:dyDescent="0.25">
      <c r="A196" s="52">
        <v>214</v>
      </c>
      <c r="B196" s="55"/>
      <c r="C196" s="56"/>
      <c r="D196" s="49"/>
      <c r="E196" s="52">
        <v>192</v>
      </c>
      <c r="F196" s="54"/>
      <c r="G196" s="56"/>
      <c r="H196" s="53"/>
    </row>
    <row r="197" spans="1:8" s="45" customFormat="1" ht="15.75" x14ac:dyDescent="0.25">
      <c r="A197" s="219" t="s">
        <v>245</v>
      </c>
      <c r="B197" s="219"/>
      <c r="C197" s="219"/>
      <c r="D197" s="57">
        <f>SUM(D5:D196)</f>
        <v>256000</v>
      </c>
      <c r="E197" s="219" t="s">
        <v>245</v>
      </c>
      <c r="F197" s="219"/>
      <c r="G197" s="219"/>
      <c r="H197" s="57">
        <f>SUM(H5:H196)</f>
        <v>375500</v>
      </c>
    </row>
  </sheetData>
  <mergeCells count="76">
    <mergeCell ref="F133:F134"/>
    <mergeCell ref="F127:F132"/>
    <mergeCell ref="F109:F110"/>
    <mergeCell ref="F104:F106"/>
    <mergeCell ref="F170:F173"/>
    <mergeCell ref="E197:G197"/>
    <mergeCell ref="F135:F136"/>
    <mergeCell ref="F137:F141"/>
    <mergeCell ref="F142:F146"/>
    <mergeCell ref="F152:F153"/>
    <mergeCell ref="F148:F151"/>
    <mergeCell ref="F154:F155"/>
    <mergeCell ref="F156:F157"/>
    <mergeCell ref="F158:F159"/>
    <mergeCell ref="F160:F162"/>
    <mergeCell ref="F163:F164"/>
    <mergeCell ref="F165:F166"/>
    <mergeCell ref="F167:F168"/>
    <mergeCell ref="E1:H1"/>
    <mergeCell ref="F5:F7"/>
    <mergeCell ref="F8:F11"/>
    <mergeCell ref="F17:F20"/>
    <mergeCell ref="F12:F16"/>
    <mergeCell ref="F101:F103"/>
    <mergeCell ref="F57:F58"/>
    <mergeCell ref="F64:F67"/>
    <mergeCell ref="F85:F87"/>
    <mergeCell ref="F88:F90"/>
    <mergeCell ref="F94:F95"/>
    <mergeCell ref="F96:F100"/>
    <mergeCell ref="F79:F83"/>
    <mergeCell ref="B114:B115"/>
    <mergeCell ref="B111:B113"/>
    <mergeCell ref="A197:C197"/>
    <mergeCell ref="B39:B41"/>
    <mergeCell ref="F60:F61"/>
    <mergeCell ref="F62:F63"/>
    <mergeCell ref="F40:F44"/>
    <mergeCell ref="F45:F48"/>
    <mergeCell ref="F49:F51"/>
    <mergeCell ref="F53:F56"/>
    <mergeCell ref="F117:F122"/>
    <mergeCell ref="F68:F74"/>
    <mergeCell ref="F75:F78"/>
    <mergeCell ref="F111:F116"/>
    <mergeCell ref="F124:F125"/>
    <mergeCell ref="B107:B110"/>
    <mergeCell ref="B103:B105"/>
    <mergeCell ref="B82:B83"/>
    <mergeCell ref="B48:B55"/>
    <mergeCell ref="B56:B58"/>
    <mergeCell ref="B99:B102"/>
    <mergeCell ref="B68:B71"/>
    <mergeCell ref="B62:B65"/>
    <mergeCell ref="B60:B61"/>
    <mergeCell ref="A1:D1"/>
    <mergeCell ref="B12:B14"/>
    <mergeCell ref="B8:B11"/>
    <mergeCell ref="B5:B7"/>
    <mergeCell ref="B17:B19"/>
    <mergeCell ref="B21:B22"/>
    <mergeCell ref="F32:F39"/>
    <mergeCell ref="B95:B98"/>
    <mergeCell ref="B89:B91"/>
    <mergeCell ref="B92:B94"/>
    <mergeCell ref="B75:B80"/>
    <mergeCell ref="B72:B74"/>
    <mergeCell ref="B33:B34"/>
    <mergeCell ref="B30:B32"/>
    <mergeCell ref="B25:B29"/>
    <mergeCell ref="B23:B24"/>
    <mergeCell ref="F23:F26"/>
    <mergeCell ref="F27:F28"/>
    <mergeCell ref="B35:B38"/>
    <mergeCell ref="B42:B44"/>
    <mergeCell ref="B86:B87"/>
  </mergeCells>
  <phoneticPr fontId="12" alignment="center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60265-DC6E-4945-AA62-5150346C3A5D}">
  <dimension ref="B3:Z49"/>
  <sheetViews>
    <sheetView workbookViewId="0">
      <selection activeCell="W29" sqref="W29"/>
    </sheetView>
  </sheetViews>
  <sheetFormatPr baseColWidth="10" defaultRowHeight="15" x14ac:dyDescent="0.25"/>
  <cols>
    <col min="2" max="4" width="11" style="71" customWidth="1"/>
    <col min="5" max="5" width="18.85546875" style="72" customWidth="1"/>
    <col min="6" max="9" width="11" style="71" customWidth="1"/>
    <col min="10" max="10" width="18.85546875" style="72" customWidth="1"/>
    <col min="12" max="14" width="11" style="71" customWidth="1"/>
    <col min="15" max="15" width="18.85546875" style="72" customWidth="1"/>
    <col min="20" max="20" width="17.7109375" customWidth="1"/>
    <col min="21" max="21" width="8.28515625" customWidth="1"/>
    <col min="22" max="22" width="24.42578125" customWidth="1"/>
    <col min="26" max="26" width="14.140625" bestFit="1" customWidth="1"/>
  </cols>
  <sheetData>
    <row r="3" spans="2:26" ht="15.75" thickBot="1" x14ac:dyDescent="0.3"/>
    <row r="4" spans="2:26" ht="24" thickBot="1" x14ac:dyDescent="0.4">
      <c r="B4" s="223" t="s">
        <v>277</v>
      </c>
      <c r="C4" s="224"/>
      <c r="D4" s="224"/>
      <c r="E4" s="225"/>
      <c r="F4" s="70"/>
      <c r="G4" s="223" t="s">
        <v>278</v>
      </c>
      <c r="H4" s="224"/>
      <c r="I4" s="224"/>
      <c r="J4" s="225"/>
      <c r="L4" s="223" t="s">
        <v>275</v>
      </c>
      <c r="M4" s="224"/>
      <c r="N4" s="224"/>
      <c r="O4" s="225"/>
      <c r="Q4" s="223" t="s">
        <v>276</v>
      </c>
      <c r="R4" s="224"/>
      <c r="S4" s="224"/>
      <c r="T4" s="225"/>
      <c r="U4" s="70"/>
      <c r="X4" s="80"/>
      <c r="Y4" s="80"/>
    </row>
    <row r="5" spans="2:26" ht="15.75" thickBot="1" x14ac:dyDescent="0.3">
      <c r="Q5" s="71"/>
      <c r="R5" s="71"/>
      <c r="S5" s="71"/>
      <c r="T5" s="72"/>
      <c r="U5" s="72"/>
    </row>
    <row r="6" spans="2:26" ht="42" x14ac:dyDescent="0.25">
      <c r="B6" s="73" t="s">
        <v>274</v>
      </c>
      <c r="C6" s="73" t="s">
        <v>273</v>
      </c>
      <c r="D6" s="73" t="s">
        <v>272</v>
      </c>
      <c r="E6" s="73" t="s">
        <v>66</v>
      </c>
      <c r="F6" s="74"/>
      <c r="G6" s="73" t="s">
        <v>274</v>
      </c>
      <c r="H6" s="73" t="s">
        <v>273</v>
      </c>
      <c r="I6" s="73" t="s">
        <v>272</v>
      </c>
      <c r="J6" s="73" t="s">
        <v>66</v>
      </c>
      <c r="L6" s="73" t="s">
        <v>274</v>
      </c>
      <c r="M6" s="73" t="s">
        <v>273</v>
      </c>
      <c r="N6" s="73" t="s">
        <v>272</v>
      </c>
      <c r="O6" s="73" t="s">
        <v>66</v>
      </c>
      <c r="Q6" s="73" t="s">
        <v>274</v>
      </c>
      <c r="R6" s="73" t="s">
        <v>273</v>
      </c>
      <c r="S6" s="73" t="s">
        <v>272</v>
      </c>
      <c r="T6" s="73" t="s">
        <v>66</v>
      </c>
      <c r="U6" s="82"/>
      <c r="W6" s="86" t="s">
        <v>274</v>
      </c>
      <c r="X6" s="86" t="s">
        <v>273</v>
      </c>
      <c r="Y6" s="89" t="s">
        <v>272</v>
      </c>
      <c r="Z6" s="91" t="s">
        <v>279</v>
      </c>
    </row>
    <row r="7" spans="2:26" ht="18.75" x14ac:dyDescent="0.3">
      <c r="B7" s="75"/>
      <c r="C7" s="75"/>
      <c r="D7" s="75">
        <v>5</v>
      </c>
      <c r="E7" s="76">
        <v>45910</v>
      </c>
      <c r="G7" s="75">
        <v>2</v>
      </c>
      <c r="H7" s="75"/>
      <c r="I7" s="75">
        <v>1</v>
      </c>
      <c r="J7" s="76">
        <v>45914</v>
      </c>
      <c r="L7" s="75">
        <v>2</v>
      </c>
      <c r="M7" s="75"/>
      <c r="N7" s="75"/>
      <c r="O7" s="76">
        <v>45915</v>
      </c>
      <c r="Q7" s="75">
        <v>1</v>
      </c>
      <c r="R7" s="75"/>
      <c r="S7" s="84"/>
      <c r="T7" s="76">
        <v>45934</v>
      </c>
      <c r="U7" s="83"/>
      <c r="V7" s="87" t="s">
        <v>280</v>
      </c>
      <c r="W7" s="69">
        <f>B49</f>
        <v>14</v>
      </c>
      <c r="X7" s="69">
        <f t="shared" ref="X7:Y7" si="0">C49</f>
        <v>1</v>
      </c>
      <c r="Y7" s="90">
        <f t="shared" si="0"/>
        <v>55</v>
      </c>
      <c r="Z7" s="92">
        <f>Y7*1450+X7*1800+W7*2500</f>
        <v>116550</v>
      </c>
    </row>
    <row r="8" spans="2:26" ht="18.75" x14ac:dyDescent="0.3">
      <c r="B8" s="75">
        <v>3</v>
      </c>
      <c r="C8" s="75">
        <v>1</v>
      </c>
      <c r="D8" s="75">
        <v>3</v>
      </c>
      <c r="E8" s="76">
        <v>45913</v>
      </c>
      <c r="G8" s="75">
        <v>2</v>
      </c>
      <c r="H8" s="75"/>
      <c r="I8" s="75">
        <v>2</v>
      </c>
      <c r="J8" s="76">
        <v>45916</v>
      </c>
      <c r="L8" s="75">
        <v>2</v>
      </c>
      <c r="M8" s="75"/>
      <c r="N8" s="75">
        <v>2</v>
      </c>
      <c r="O8" s="76">
        <v>45917</v>
      </c>
      <c r="Q8" s="75">
        <v>1</v>
      </c>
      <c r="R8" s="75"/>
      <c r="S8" s="84">
        <v>2</v>
      </c>
      <c r="T8" s="76">
        <v>45946</v>
      </c>
      <c r="U8" s="83"/>
      <c r="V8" s="87" t="s">
        <v>281</v>
      </c>
      <c r="W8" s="69">
        <f>G49</f>
        <v>9</v>
      </c>
      <c r="X8" s="69">
        <f t="shared" ref="X8:Y8" si="1">H49</f>
        <v>1</v>
      </c>
      <c r="Y8" s="90">
        <f t="shared" si="1"/>
        <v>37</v>
      </c>
      <c r="Z8" s="92">
        <f t="shared" ref="Z8:Z13" si="2">Y8*1450+X8*1800+W8*2500</f>
        <v>77950</v>
      </c>
    </row>
    <row r="9" spans="2:26" ht="18.75" x14ac:dyDescent="0.3">
      <c r="B9" s="75">
        <v>1</v>
      </c>
      <c r="C9" s="75"/>
      <c r="D9" s="75"/>
      <c r="E9" s="76">
        <v>45914</v>
      </c>
      <c r="G9" s="75">
        <v>1</v>
      </c>
      <c r="H9" s="75">
        <v>1</v>
      </c>
      <c r="I9" s="75"/>
      <c r="J9" s="76">
        <v>45918</v>
      </c>
      <c r="L9" s="75">
        <v>1</v>
      </c>
      <c r="M9" s="75">
        <v>1</v>
      </c>
      <c r="N9" s="75">
        <v>1</v>
      </c>
      <c r="O9" s="76">
        <v>45920</v>
      </c>
      <c r="Q9" s="75">
        <v>1</v>
      </c>
      <c r="R9" s="75"/>
      <c r="S9" s="75"/>
      <c r="T9" s="76">
        <v>45993</v>
      </c>
      <c r="U9" s="83"/>
      <c r="V9" s="87" t="s">
        <v>282</v>
      </c>
      <c r="W9" s="69">
        <f>L49</f>
        <v>9</v>
      </c>
      <c r="X9" s="69">
        <f t="shared" ref="X9:Y9" si="3">M49</f>
        <v>1</v>
      </c>
      <c r="Y9" s="90">
        <f t="shared" si="3"/>
        <v>36</v>
      </c>
      <c r="Z9" s="92">
        <f t="shared" si="2"/>
        <v>76500</v>
      </c>
    </row>
    <row r="10" spans="2:26" ht="18.75" x14ac:dyDescent="0.3">
      <c r="B10" s="75">
        <v>2</v>
      </c>
      <c r="C10" s="75"/>
      <c r="D10" s="75"/>
      <c r="E10" s="76">
        <v>45915</v>
      </c>
      <c r="G10" s="75"/>
      <c r="H10" s="75"/>
      <c r="I10" s="75">
        <v>2</v>
      </c>
      <c r="J10" s="76">
        <v>45921</v>
      </c>
      <c r="L10" s="75"/>
      <c r="M10" s="75"/>
      <c r="N10" s="75">
        <v>2</v>
      </c>
      <c r="O10" s="76">
        <v>45932</v>
      </c>
      <c r="Q10" s="75">
        <v>1</v>
      </c>
      <c r="R10" s="75"/>
      <c r="S10" s="75"/>
      <c r="T10" s="76"/>
      <c r="U10" s="83"/>
      <c r="V10" s="87" t="s">
        <v>283</v>
      </c>
      <c r="W10" s="69">
        <f>Q49</f>
        <v>4</v>
      </c>
      <c r="X10" s="69">
        <f t="shared" ref="X10:Y10" si="4">R49</f>
        <v>0</v>
      </c>
      <c r="Y10" s="90">
        <f t="shared" si="4"/>
        <v>12</v>
      </c>
      <c r="Z10" s="92">
        <f t="shared" si="2"/>
        <v>27400</v>
      </c>
    </row>
    <row r="11" spans="2:26" ht="18.75" x14ac:dyDescent="0.3">
      <c r="B11" s="75">
        <v>1</v>
      </c>
      <c r="C11" s="75"/>
      <c r="D11" s="75"/>
      <c r="E11" s="76">
        <v>45917</v>
      </c>
      <c r="G11" s="75"/>
      <c r="H11" s="75"/>
      <c r="I11" s="75">
        <v>2</v>
      </c>
      <c r="J11" s="76">
        <v>45935</v>
      </c>
      <c r="L11" s="75"/>
      <c r="M11" s="75"/>
      <c r="N11" s="75">
        <v>2</v>
      </c>
      <c r="O11" s="76">
        <v>45934</v>
      </c>
      <c r="Q11" s="75"/>
      <c r="R11" s="75"/>
      <c r="S11" s="75">
        <v>10</v>
      </c>
      <c r="T11" s="76"/>
      <c r="U11" s="83"/>
      <c r="V11" s="79" t="s">
        <v>284</v>
      </c>
      <c r="W11" s="85">
        <f>B49-G49-Q49</f>
        <v>1</v>
      </c>
      <c r="X11" s="85">
        <f t="shared" ref="X11:Y11" si="5">C49-H49-R49</f>
        <v>0</v>
      </c>
      <c r="Y11" s="85">
        <f t="shared" si="5"/>
        <v>6</v>
      </c>
      <c r="Z11" s="92">
        <f t="shared" si="2"/>
        <v>11200</v>
      </c>
    </row>
    <row r="12" spans="2:26" ht="18.75" x14ac:dyDescent="0.3">
      <c r="B12" s="75"/>
      <c r="C12" s="75"/>
      <c r="D12" s="75">
        <v>3</v>
      </c>
      <c r="E12" s="76">
        <v>45920</v>
      </c>
      <c r="G12" s="75"/>
      <c r="H12" s="75"/>
      <c r="I12" s="75">
        <v>1</v>
      </c>
      <c r="J12" s="76">
        <v>45944</v>
      </c>
      <c r="L12" s="75"/>
      <c r="M12" s="75"/>
      <c r="N12" s="75">
        <v>2</v>
      </c>
      <c r="O12" s="76">
        <v>45946</v>
      </c>
      <c r="Q12" s="75"/>
      <c r="R12" s="75"/>
      <c r="S12" s="75"/>
      <c r="T12" s="76"/>
      <c r="U12" s="83"/>
      <c r="V12" s="81" t="s">
        <v>285</v>
      </c>
      <c r="W12" s="85">
        <f>B49-L49-Q49</f>
        <v>1</v>
      </c>
      <c r="X12" s="85">
        <f t="shared" ref="X12:Y12" si="6">C49-M49-R49</f>
        <v>0</v>
      </c>
      <c r="Y12" s="85">
        <f t="shared" si="6"/>
        <v>7</v>
      </c>
      <c r="Z12" s="92">
        <f t="shared" si="2"/>
        <v>12650</v>
      </c>
    </row>
    <row r="13" spans="2:26" ht="19.5" thickBot="1" x14ac:dyDescent="0.35">
      <c r="B13" s="75"/>
      <c r="C13" s="75"/>
      <c r="D13" s="75">
        <v>1</v>
      </c>
      <c r="E13" s="76">
        <v>45944</v>
      </c>
      <c r="G13" s="75"/>
      <c r="H13" s="75"/>
      <c r="I13" s="75">
        <v>1</v>
      </c>
      <c r="J13" s="76">
        <v>45946</v>
      </c>
      <c r="L13" s="75"/>
      <c r="M13" s="75"/>
      <c r="N13" s="75">
        <v>1</v>
      </c>
      <c r="O13" s="76">
        <v>45959</v>
      </c>
      <c r="Q13" s="75"/>
      <c r="R13" s="75"/>
      <c r="S13" s="75"/>
      <c r="T13" s="76"/>
      <c r="U13" s="83"/>
      <c r="V13" s="81" t="s">
        <v>286</v>
      </c>
      <c r="W13" s="69">
        <f t="shared" ref="W13:X13" si="7">W12-W11</f>
        <v>0</v>
      </c>
      <c r="X13" s="69">
        <f t="shared" si="7"/>
        <v>0</v>
      </c>
      <c r="Y13" s="90">
        <f>Y12-Y11</f>
        <v>1</v>
      </c>
      <c r="Z13" s="93">
        <f t="shared" si="2"/>
        <v>1450</v>
      </c>
    </row>
    <row r="14" spans="2:26" x14ac:dyDescent="0.25">
      <c r="B14" s="75"/>
      <c r="C14" s="75"/>
      <c r="D14" s="75">
        <v>2</v>
      </c>
      <c r="E14" s="76">
        <v>45946</v>
      </c>
      <c r="G14" s="75"/>
      <c r="H14" s="75"/>
      <c r="I14" s="75">
        <v>1</v>
      </c>
      <c r="J14" s="76">
        <v>45955</v>
      </c>
      <c r="L14" s="75"/>
      <c r="M14" s="75"/>
      <c r="N14" s="75">
        <v>1</v>
      </c>
      <c r="O14" s="76">
        <v>45962</v>
      </c>
      <c r="Q14" s="75"/>
      <c r="R14" s="75"/>
      <c r="S14" s="75"/>
      <c r="T14" s="76"/>
      <c r="U14" s="83"/>
    </row>
    <row r="15" spans="2:26" x14ac:dyDescent="0.25">
      <c r="B15" s="75">
        <v>2</v>
      </c>
      <c r="C15" s="75"/>
      <c r="D15" s="75"/>
      <c r="E15" s="76">
        <v>45962</v>
      </c>
      <c r="G15" s="75"/>
      <c r="H15" s="75"/>
      <c r="I15" s="75">
        <v>1</v>
      </c>
      <c r="J15" s="76">
        <v>45960</v>
      </c>
      <c r="L15" s="75">
        <v>1</v>
      </c>
      <c r="M15" s="75"/>
      <c r="N15" s="75">
        <v>1</v>
      </c>
      <c r="O15" s="76">
        <v>45981</v>
      </c>
      <c r="Q15" s="75"/>
      <c r="R15" s="75"/>
      <c r="S15" s="75"/>
      <c r="T15" s="76"/>
      <c r="U15" s="83"/>
    </row>
    <row r="16" spans="2:26" x14ac:dyDescent="0.25">
      <c r="B16" s="75"/>
      <c r="C16" s="75"/>
      <c r="D16" s="75">
        <v>2</v>
      </c>
      <c r="E16" s="76">
        <v>45981</v>
      </c>
      <c r="G16" s="75">
        <v>1</v>
      </c>
      <c r="H16" s="75"/>
      <c r="I16" s="75">
        <v>1</v>
      </c>
      <c r="J16" s="76">
        <v>45963</v>
      </c>
      <c r="L16" s="75"/>
      <c r="M16" s="75"/>
      <c r="N16" s="75">
        <v>1</v>
      </c>
      <c r="O16" s="76">
        <v>45963</v>
      </c>
      <c r="Q16" s="75"/>
      <c r="R16" s="75"/>
      <c r="S16" s="75"/>
      <c r="T16" s="76"/>
      <c r="U16" s="83"/>
    </row>
    <row r="17" spans="2:26" ht="15.75" thickBot="1" x14ac:dyDescent="0.3">
      <c r="B17" s="75">
        <v>1</v>
      </c>
      <c r="C17" s="75"/>
      <c r="D17" s="75">
        <v>2</v>
      </c>
      <c r="E17" s="76">
        <v>45983</v>
      </c>
      <c r="G17" s="75">
        <v>1</v>
      </c>
      <c r="H17" s="75"/>
      <c r="I17" s="75">
        <v>2</v>
      </c>
      <c r="J17" s="76">
        <v>45680</v>
      </c>
      <c r="L17" s="75">
        <v>1</v>
      </c>
      <c r="M17" s="75"/>
      <c r="N17" s="75">
        <v>1</v>
      </c>
      <c r="O17" s="76">
        <v>45990</v>
      </c>
      <c r="Q17" s="75"/>
      <c r="R17" s="75"/>
      <c r="S17" s="75"/>
      <c r="T17" s="76"/>
      <c r="U17" s="83"/>
    </row>
    <row r="18" spans="2:26" ht="16.5" thickBot="1" x14ac:dyDescent="0.3">
      <c r="B18" s="75">
        <v>1</v>
      </c>
      <c r="C18" s="75"/>
      <c r="D18" s="75"/>
      <c r="E18" s="76">
        <v>45984</v>
      </c>
      <c r="G18" s="75"/>
      <c r="H18" s="75"/>
      <c r="I18" s="75">
        <v>3</v>
      </c>
      <c r="J18" s="76">
        <v>45993</v>
      </c>
      <c r="L18" s="75"/>
      <c r="M18" s="75"/>
      <c r="N18" s="75">
        <v>4</v>
      </c>
      <c r="O18" s="76"/>
      <c r="Q18" s="75"/>
      <c r="R18" s="75"/>
      <c r="S18" s="75"/>
      <c r="T18" s="76"/>
      <c r="U18" s="83"/>
      <c r="Y18" s="159" t="s">
        <v>383</v>
      </c>
      <c r="Z18" s="160" t="s">
        <v>384</v>
      </c>
    </row>
    <row r="19" spans="2:26" ht="15.75" x14ac:dyDescent="0.25">
      <c r="B19" s="75"/>
      <c r="C19" s="75"/>
      <c r="D19" s="75">
        <v>5</v>
      </c>
      <c r="E19" s="76">
        <v>45993</v>
      </c>
      <c r="G19" s="75"/>
      <c r="H19" s="75"/>
      <c r="I19" s="75">
        <v>1</v>
      </c>
      <c r="J19" s="76">
        <v>46007</v>
      </c>
      <c r="L19" s="75"/>
      <c r="M19" s="75"/>
      <c r="N19" s="75">
        <v>1</v>
      </c>
      <c r="O19" s="76"/>
      <c r="Q19" s="75"/>
      <c r="R19" s="75"/>
      <c r="S19" s="75"/>
      <c r="T19" s="76"/>
      <c r="U19" s="83"/>
      <c r="Y19" s="157">
        <v>6</v>
      </c>
      <c r="Z19" s="158">
        <v>1</v>
      </c>
    </row>
    <row r="20" spans="2:26" ht="15.75" x14ac:dyDescent="0.25">
      <c r="B20" s="75"/>
      <c r="C20" s="75"/>
      <c r="D20" s="75">
        <v>3</v>
      </c>
      <c r="E20" s="76">
        <v>46027</v>
      </c>
      <c r="G20" s="75"/>
      <c r="H20" s="75"/>
      <c r="I20" s="75">
        <v>1</v>
      </c>
      <c r="J20" s="76">
        <v>46009</v>
      </c>
      <c r="L20" s="75"/>
      <c r="M20" s="75"/>
      <c r="N20" s="75">
        <v>2</v>
      </c>
      <c r="O20" s="76">
        <v>46030</v>
      </c>
      <c r="Q20" s="75"/>
      <c r="R20" s="75"/>
      <c r="S20" s="75"/>
      <c r="T20" s="76"/>
      <c r="U20" s="83"/>
      <c r="Y20" s="155">
        <v>8</v>
      </c>
      <c r="Z20" s="156">
        <v>1</v>
      </c>
    </row>
    <row r="21" spans="2:26" ht="15.75" x14ac:dyDescent="0.25">
      <c r="B21" s="75"/>
      <c r="C21" s="75"/>
      <c r="D21" s="75">
        <v>9</v>
      </c>
      <c r="E21" s="76">
        <v>46030</v>
      </c>
      <c r="G21" s="75"/>
      <c r="H21" s="75"/>
      <c r="I21" s="75">
        <v>1</v>
      </c>
      <c r="J21" s="76">
        <v>46032</v>
      </c>
      <c r="L21" s="75"/>
      <c r="M21" s="75"/>
      <c r="N21" s="75">
        <v>2</v>
      </c>
      <c r="O21" s="76">
        <v>46034</v>
      </c>
      <c r="Q21" s="75"/>
      <c r="R21" s="75"/>
      <c r="S21" s="75"/>
      <c r="T21" s="76"/>
      <c r="U21" s="83"/>
      <c r="Y21" s="155">
        <v>10</v>
      </c>
      <c r="Z21" s="156">
        <v>2</v>
      </c>
    </row>
    <row r="22" spans="2:26" ht="15.75" x14ac:dyDescent="0.25">
      <c r="B22" s="75">
        <v>1</v>
      </c>
      <c r="C22" s="75"/>
      <c r="D22" s="75">
        <v>13</v>
      </c>
      <c r="E22" s="76">
        <v>46111</v>
      </c>
      <c r="G22" s="75"/>
      <c r="H22" s="75"/>
      <c r="I22" s="75">
        <v>2</v>
      </c>
      <c r="J22" s="76">
        <v>46033</v>
      </c>
      <c r="L22" s="75">
        <v>1</v>
      </c>
      <c r="M22" s="75"/>
      <c r="N22" s="75">
        <v>4</v>
      </c>
      <c r="O22" s="76">
        <v>415009</v>
      </c>
      <c r="Q22" s="75"/>
      <c r="R22" s="75"/>
      <c r="S22" s="75"/>
      <c r="T22" s="76"/>
      <c r="U22" s="83"/>
      <c r="Y22" s="155">
        <v>12</v>
      </c>
      <c r="Z22" s="156">
        <v>2</v>
      </c>
    </row>
    <row r="23" spans="2:26" ht="15.75" x14ac:dyDescent="0.25">
      <c r="B23" s="75">
        <v>2</v>
      </c>
      <c r="C23" s="75"/>
      <c r="D23" s="75">
        <v>2</v>
      </c>
      <c r="E23" s="76">
        <v>46120</v>
      </c>
      <c r="G23" s="75"/>
      <c r="H23" s="75"/>
      <c r="I23" s="75">
        <v>1</v>
      </c>
      <c r="J23" s="76"/>
      <c r="L23" s="75"/>
      <c r="M23" s="75"/>
      <c r="N23" s="75">
        <v>2</v>
      </c>
      <c r="O23" s="76">
        <v>46116</v>
      </c>
      <c r="Q23" s="75"/>
      <c r="R23" s="75"/>
      <c r="S23" s="75"/>
      <c r="T23" s="76"/>
      <c r="U23" s="83"/>
      <c r="Y23" s="155">
        <v>14</v>
      </c>
      <c r="Z23" s="156">
        <v>0</v>
      </c>
    </row>
    <row r="24" spans="2:26" x14ac:dyDescent="0.25">
      <c r="B24" s="75"/>
      <c r="C24" s="75"/>
      <c r="D24" s="75">
        <v>3</v>
      </c>
      <c r="E24" s="76">
        <v>46126</v>
      </c>
      <c r="G24" s="75">
        <v>1</v>
      </c>
      <c r="H24" s="75"/>
      <c r="I24" s="75">
        <v>4</v>
      </c>
      <c r="J24" s="76">
        <v>374830</v>
      </c>
      <c r="L24" s="75"/>
      <c r="M24" s="75"/>
      <c r="N24" s="75">
        <v>1</v>
      </c>
      <c r="O24" s="76">
        <v>46120</v>
      </c>
      <c r="Q24" s="75"/>
      <c r="R24" s="75"/>
      <c r="S24" s="75"/>
      <c r="T24" s="76"/>
      <c r="U24" s="83"/>
      <c r="Z24" s="172">
        <f>SUM(Z19:Z23)</f>
        <v>6</v>
      </c>
    </row>
    <row r="25" spans="2:26" x14ac:dyDescent="0.25">
      <c r="B25" s="75"/>
      <c r="C25" s="75"/>
      <c r="D25" s="75">
        <v>2</v>
      </c>
      <c r="E25" s="76">
        <v>46128</v>
      </c>
      <c r="G25" s="75"/>
      <c r="H25" s="75"/>
      <c r="I25" s="75">
        <v>2</v>
      </c>
      <c r="J25" s="76">
        <v>415009</v>
      </c>
      <c r="L25" s="75">
        <v>1</v>
      </c>
      <c r="M25" s="75"/>
      <c r="N25" s="75">
        <v>2</v>
      </c>
      <c r="O25" s="76">
        <v>46123</v>
      </c>
      <c r="Q25" s="75"/>
      <c r="R25" s="75"/>
      <c r="S25" s="75"/>
      <c r="T25" s="76"/>
      <c r="U25" s="83"/>
    </row>
    <row r="26" spans="2:26" x14ac:dyDescent="0.25">
      <c r="B26" s="75"/>
      <c r="C26" s="75"/>
      <c r="D26" s="75"/>
      <c r="E26" s="76"/>
      <c r="G26" s="75"/>
      <c r="H26" s="75"/>
      <c r="I26" s="75">
        <v>1</v>
      </c>
      <c r="J26" s="76"/>
      <c r="L26" s="75"/>
      <c r="M26" s="75"/>
      <c r="N26" s="75">
        <v>2</v>
      </c>
      <c r="O26" s="76">
        <v>46126</v>
      </c>
      <c r="Q26" s="75"/>
      <c r="R26" s="75"/>
      <c r="S26" s="75"/>
      <c r="T26" s="76"/>
      <c r="U26" s="83"/>
    </row>
    <row r="27" spans="2:26" x14ac:dyDescent="0.25">
      <c r="B27" s="75"/>
      <c r="C27" s="75"/>
      <c r="D27" s="75"/>
      <c r="E27" s="76"/>
      <c r="G27" s="75">
        <v>1</v>
      </c>
      <c r="H27" s="75"/>
      <c r="I27" s="75">
        <v>2</v>
      </c>
      <c r="J27" s="76">
        <v>46121</v>
      </c>
      <c r="L27" s="75"/>
      <c r="M27" s="75"/>
      <c r="N27" s="75">
        <v>2</v>
      </c>
      <c r="O27" s="76">
        <v>46128</v>
      </c>
      <c r="Q27" s="75"/>
      <c r="R27" s="75"/>
      <c r="S27" s="75"/>
      <c r="T27" s="76"/>
      <c r="U27" s="83"/>
    </row>
    <row r="28" spans="2:26" x14ac:dyDescent="0.25">
      <c r="B28" s="75"/>
      <c r="C28" s="75"/>
      <c r="D28" s="75"/>
      <c r="E28" s="76"/>
      <c r="G28" s="75"/>
      <c r="H28" s="75"/>
      <c r="I28" s="75">
        <v>1</v>
      </c>
      <c r="J28" s="76">
        <v>46124</v>
      </c>
      <c r="L28" s="75"/>
      <c r="M28" s="75"/>
      <c r="N28" s="75"/>
      <c r="O28" s="76"/>
      <c r="Q28" s="75"/>
      <c r="R28" s="75"/>
      <c r="S28" s="75"/>
      <c r="T28" s="76"/>
      <c r="U28" s="83"/>
    </row>
    <row r="29" spans="2:26" x14ac:dyDescent="0.25">
      <c r="B29" s="75"/>
      <c r="C29" s="75"/>
      <c r="D29" s="75"/>
      <c r="E29" s="76"/>
      <c r="G29" s="75"/>
      <c r="H29" s="75"/>
      <c r="I29" s="75">
        <v>2</v>
      </c>
      <c r="J29" s="76">
        <v>46126</v>
      </c>
      <c r="L29" s="75"/>
      <c r="M29" s="75"/>
      <c r="N29" s="75"/>
      <c r="O29" s="76"/>
      <c r="Q29" s="75"/>
      <c r="R29" s="75"/>
      <c r="S29" s="75"/>
      <c r="T29" s="76"/>
      <c r="U29" s="83"/>
    </row>
    <row r="30" spans="2:26" x14ac:dyDescent="0.25">
      <c r="B30" s="75"/>
      <c r="C30" s="75"/>
      <c r="D30" s="75"/>
      <c r="E30" s="76"/>
      <c r="G30" s="75"/>
      <c r="H30" s="75"/>
      <c r="I30" s="75">
        <v>1</v>
      </c>
      <c r="J30" s="76">
        <v>46128</v>
      </c>
      <c r="L30" s="75"/>
      <c r="M30" s="75"/>
      <c r="N30" s="75"/>
      <c r="O30" s="76"/>
      <c r="Q30" s="75"/>
      <c r="R30" s="75"/>
      <c r="S30" s="75"/>
      <c r="T30" s="76"/>
      <c r="U30" s="83"/>
    </row>
    <row r="31" spans="2:26" x14ac:dyDescent="0.25">
      <c r="B31" s="75"/>
      <c r="C31" s="75"/>
      <c r="D31" s="75"/>
      <c r="E31" s="76"/>
      <c r="G31" s="75"/>
      <c r="H31" s="75"/>
      <c r="I31" s="75">
        <v>1</v>
      </c>
      <c r="J31" s="76">
        <v>46140</v>
      </c>
      <c r="L31" s="75"/>
      <c r="M31" s="75"/>
      <c r="N31" s="75"/>
      <c r="O31" s="76"/>
      <c r="Q31" s="75"/>
      <c r="R31" s="75"/>
      <c r="S31" s="75"/>
      <c r="T31" s="76"/>
      <c r="U31" s="83"/>
    </row>
    <row r="32" spans="2:26" x14ac:dyDescent="0.25">
      <c r="B32" s="75"/>
      <c r="C32" s="75"/>
      <c r="D32" s="75"/>
      <c r="E32" s="76"/>
      <c r="G32" s="75"/>
      <c r="H32" s="75"/>
      <c r="I32" s="75"/>
      <c r="J32" s="76"/>
      <c r="L32" s="75"/>
      <c r="M32" s="75"/>
      <c r="N32" s="75"/>
      <c r="O32" s="76"/>
      <c r="Q32" s="75"/>
      <c r="R32" s="75"/>
      <c r="S32" s="75"/>
      <c r="T32" s="76"/>
      <c r="U32" s="83"/>
    </row>
    <row r="33" spans="2:21" x14ac:dyDescent="0.25">
      <c r="B33" s="75"/>
      <c r="C33" s="75"/>
      <c r="D33" s="75"/>
      <c r="E33" s="76"/>
      <c r="G33" s="75"/>
      <c r="H33" s="75"/>
      <c r="I33" s="75"/>
      <c r="J33" s="76"/>
      <c r="L33" s="75"/>
      <c r="M33" s="75"/>
      <c r="N33" s="75"/>
      <c r="O33" s="76"/>
      <c r="Q33" s="75"/>
      <c r="R33" s="75"/>
      <c r="S33" s="75"/>
      <c r="T33" s="76"/>
      <c r="U33" s="83"/>
    </row>
    <row r="34" spans="2:21" x14ac:dyDescent="0.25">
      <c r="B34" s="75"/>
      <c r="C34" s="75"/>
      <c r="D34" s="75"/>
      <c r="E34" s="76"/>
      <c r="G34" s="75"/>
      <c r="H34" s="75"/>
      <c r="I34" s="75"/>
      <c r="J34" s="76"/>
      <c r="L34" s="75"/>
      <c r="M34" s="75"/>
      <c r="N34" s="75"/>
      <c r="O34" s="76"/>
      <c r="Q34" s="75"/>
      <c r="R34" s="75"/>
      <c r="S34" s="75"/>
      <c r="T34" s="76"/>
      <c r="U34" s="83"/>
    </row>
    <row r="35" spans="2:21" x14ac:dyDescent="0.25">
      <c r="B35" s="75"/>
      <c r="C35" s="75"/>
      <c r="D35" s="75"/>
      <c r="E35" s="76"/>
      <c r="G35" s="75"/>
      <c r="H35" s="75"/>
      <c r="I35" s="75"/>
      <c r="J35" s="76"/>
      <c r="L35" s="75"/>
      <c r="M35" s="75"/>
      <c r="N35" s="75"/>
      <c r="O35" s="76"/>
      <c r="Q35" s="75"/>
      <c r="R35" s="75"/>
      <c r="S35" s="75"/>
      <c r="T35" s="76"/>
      <c r="U35" s="83"/>
    </row>
    <row r="36" spans="2:21" x14ac:dyDescent="0.25">
      <c r="B36" s="75"/>
      <c r="C36" s="75"/>
      <c r="D36" s="75"/>
      <c r="E36" s="76"/>
      <c r="G36" s="75"/>
      <c r="H36" s="75"/>
      <c r="I36" s="75"/>
      <c r="J36" s="76"/>
      <c r="L36" s="75"/>
      <c r="M36" s="75"/>
      <c r="N36" s="75"/>
      <c r="O36" s="76"/>
      <c r="Q36" s="75"/>
      <c r="R36" s="75"/>
      <c r="S36" s="75"/>
      <c r="T36" s="76"/>
      <c r="U36" s="83"/>
    </row>
    <row r="37" spans="2:21" x14ac:dyDescent="0.25">
      <c r="B37" s="75"/>
      <c r="C37" s="75"/>
      <c r="D37" s="75"/>
      <c r="E37" s="76"/>
      <c r="G37" s="75"/>
      <c r="H37" s="75"/>
      <c r="I37" s="75"/>
      <c r="J37" s="76"/>
      <c r="L37" s="75"/>
      <c r="M37" s="75"/>
      <c r="N37" s="75"/>
      <c r="O37" s="76"/>
      <c r="Q37" s="75"/>
      <c r="R37" s="75"/>
      <c r="S37" s="75"/>
      <c r="T37" s="76"/>
      <c r="U37" s="83"/>
    </row>
    <row r="38" spans="2:21" x14ac:dyDescent="0.25">
      <c r="B38" s="75"/>
      <c r="C38" s="75"/>
      <c r="D38" s="75"/>
      <c r="E38" s="76"/>
      <c r="G38" s="75"/>
      <c r="H38" s="75"/>
      <c r="I38" s="75"/>
      <c r="J38" s="76"/>
      <c r="L38" s="75"/>
      <c r="M38" s="75"/>
      <c r="N38" s="75"/>
      <c r="O38" s="76"/>
      <c r="Q38" s="75"/>
      <c r="R38" s="75"/>
      <c r="S38" s="75"/>
      <c r="T38" s="76"/>
      <c r="U38" s="83"/>
    </row>
    <row r="39" spans="2:21" x14ac:dyDescent="0.25">
      <c r="B39" s="75"/>
      <c r="C39" s="75"/>
      <c r="D39" s="75"/>
      <c r="E39" s="76"/>
      <c r="G39" s="75"/>
      <c r="H39" s="75"/>
      <c r="I39" s="75"/>
      <c r="J39" s="76"/>
      <c r="L39" s="75"/>
      <c r="M39" s="75"/>
      <c r="N39" s="75"/>
      <c r="O39" s="76"/>
      <c r="Q39" s="75"/>
      <c r="R39" s="75"/>
      <c r="S39" s="75"/>
      <c r="T39" s="76"/>
      <c r="U39" s="83"/>
    </row>
    <row r="40" spans="2:21" x14ac:dyDescent="0.25">
      <c r="B40" s="75"/>
      <c r="C40" s="75"/>
      <c r="D40" s="75"/>
      <c r="E40" s="76"/>
      <c r="G40" s="75"/>
      <c r="H40" s="75"/>
      <c r="I40" s="75"/>
      <c r="J40" s="76"/>
      <c r="L40" s="75"/>
      <c r="M40" s="75"/>
      <c r="N40" s="75"/>
      <c r="O40" s="76"/>
      <c r="Q40" s="75"/>
      <c r="R40" s="75"/>
      <c r="S40" s="75"/>
      <c r="T40" s="76"/>
      <c r="U40" s="83"/>
    </row>
    <row r="41" spans="2:21" x14ac:dyDescent="0.25">
      <c r="B41" s="75"/>
      <c r="C41" s="75"/>
      <c r="D41" s="75"/>
      <c r="E41" s="76"/>
      <c r="G41" s="75"/>
      <c r="H41" s="75"/>
      <c r="I41" s="75"/>
      <c r="J41" s="76"/>
      <c r="L41" s="75"/>
      <c r="M41" s="75"/>
      <c r="N41" s="75"/>
      <c r="O41" s="76"/>
      <c r="Q41" s="75"/>
      <c r="R41" s="75"/>
      <c r="S41" s="75"/>
      <c r="T41" s="76"/>
      <c r="U41" s="83"/>
    </row>
    <row r="42" spans="2:21" x14ac:dyDescent="0.25">
      <c r="B42" s="75"/>
      <c r="C42" s="75"/>
      <c r="D42" s="75"/>
      <c r="E42" s="76"/>
      <c r="G42" s="75"/>
      <c r="H42" s="75"/>
      <c r="I42" s="75"/>
      <c r="J42" s="76"/>
      <c r="L42" s="75"/>
      <c r="M42" s="75"/>
      <c r="N42" s="75"/>
      <c r="O42" s="76"/>
      <c r="Q42" s="75"/>
      <c r="R42" s="75"/>
      <c r="S42" s="75"/>
      <c r="T42" s="76"/>
      <c r="U42" s="83"/>
    </row>
    <row r="43" spans="2:21" x14ac:dyDescent="0.25">
      <c r="B43" s="75"/>
      <c r="C43" s="75"/>
      <c r="D43" s="75"/>
      <c r="E43" s="76"/>
      <c r="G43" s="75"/>
      <c r="H43" s="75"/>
      <c r="I43" s="75"/>
      <c r="J43" s="76"/>
      <c r="L43" s="75"/>
      <c r="M43" s="75"/>
      <c r="N43" s="75"/>
      <c r="O43" s="76"/>
      <c r="Q43" s="75"/>
      <c r="R43" s="75"/>
      <c r="S43" s="75"/>
      <c r="T43" s="76"/>
      <c r="U43" s="83"/>
    </row>
    <row r="44" spans="2:21" x14ac:dyDescent="0.25">
      <c r="B44" s="75"/>
      <c r="C44" s="75"/>
      <c r="D44" s="75"/>
      <c r="E44" s="76"/>
      <c r="G44" s="75"/>
      <c r="H44" s="75"/>
      <c r="I44" s="75"/>
      <c r="J44" s="76"/>
      <c r="L44" s="75"/>
      <c r="M44" s="75"/>
      <c r="N44" s="75"/>
      <c r="O44" s="76"/>
      <c r="Q44" s="75"/>
      <c r="R44" s="75"/>
      <c r="S44" s="75"/>
      <c r="T44" s="76"/>
      <c r="U44" s="83"/>
    </row>
    <row r="45" spans="2:21" x14ac:dyDescent="0.25">
      <c r="B45" s="75"/>
      <c r="C45" s="75"/>
      <c r="D45" s="75"/>
      <c r="E45" s="76"/>
      <c r="G45" s="75"/>
      <c r="H45" s="75"/>
      <c r="I45" s="75"/>
      <c r="J45" s="76"/>
      <c r="L45" s="75"/>
      <c r="M45" s="75"/>
      <c r="N45" s="75"/>
      <c r="O45" s="76"/>
      <c r="Q45" s="75"/>
      <c r="R45" s="75"/>
      <c r="S45" s="75"/>
      <c r="T45" s="76"/>
      <c r="U45" s="83"/>
    </row>
    <row r="46" spans="2:21" x14ac:dyDescent="0.25">
      <c r="B46" s="75"/>
      <c r="C46" s="75"/>
      <c r="D46" s="75"/>
      <c r="E46" s="76"/>
      <c r="G46" s="75"/>
      <c r="H46" s="75"/>
      <c r="I46" s="75"/>
      <c r="J46" s="76"/>
      <c r="L46" s="75"/>
      <c r="M46" s="75"/>
      <c r="N46" s="75"/>
      <c r="O46" s="76"/>
      <c r="Q46" s="75"/>
      <c r="R46" s="75"/>
      <c r="S46" s="75"/>
      <c r="T46" s="76"/>
      <c r="U46" s="83"/>
    </row>
    <row r="47" spans="2:21" x14ac:dyDescent="0.25">
      <c r="B47" s="75"/>
      <c r="C47" s="75"/>
      <c r="D47" s="75"/>
      <c r="E47" s="76"/>
      <c r="G47" s="75"/>
      <c r="H47" s="75"/>
      <c r="I47" s="75"/>
      <c r="J47" s="76"/>
      <c r="L47" s="75"/>
      <c r="M47" s="75"/>
      <c r="N47" s="75"/>
      <c r="O47" s="76"/>
      <c r="Q47" s="75"/>
      <c r="R47" s="75"/>
      <c r="S47" s="75"/>
      <c r="T47" s="76"/>
      <c r="U47" s="83"/>
    </row>
    <row r="48" spans="2:21" x14ac:dyDescent="0.25">
      <c r="B48" s="75"/>
      <c r="C48" s="75"/>
      <c r="D48" s="75"/>
      <c r="E48" s="76"/>
      <c r="G48" s="75"/>
      <c r="H48" s="75"/>
      <c r="I48" s="75"/>
      <c r="J48" s="76"/>
      <c r="L48" s="75"/>
      <c r="M48" s="75"/>
      <c r="N48" s="75"/>
      <c r="O48" s="76"/>
      <c r="Q48" s="75"/>
      <c r="R48" s="75"/>
      <c r="S48" s="75"/>
      <c r="T48" s="76"/>
      <c r="U48" s="83"/>
    </row>
    <row r="49" spans="2:21" ht="15.75" x14ac:dyDescent="0.25">
      <c r="B49" s="88">
        <f t="shared" ref="B49:C49" si="8">SUM(B7:B48)</f>
        <v>14</v>
      </c>
      <c r="C49" s="88">
        <f t="shared" si="8"/>
        <v>1</v>
      </c>
      <c r="D49" s="88">
        <f>SUM(D7:D48)</f>
        <v>55</v>
      </c>
      <c r="E49" s="78"/>
      <c r="F49" s="77"/>
      <c r="G49" s="88">
        <f t="shared" ref="G49" si="9">SUM(G7:G48)</f>
        <v>9</v>
      </c>
      <c r="H49" s="88">
        <f t="shared" ref="H49" si="10">SUM(H7:H48)</f>
        <v>1</v>
      </c>
      <c r="I49" s="88">
        <f>SUM(I7:I48)</f>
        <v>37</v>
      </c>
      <c r="J49" s="78"/>
      <c r="L49" s="88">
        <f t="shared" ref="L49" si="11">SUM(L7:L48)</f>
        <v>9</v>
      </c>
      <c r="M49" s="88">
        <f t="shared" ref="M49" si="12">SUM(M7:M48)</f>
        <v>1</v>
      </c>
      <c r="N49" s="88">
        <f>SUM(N7:N48)</f>
        <v>36</v>
      </c>
      <c r="O49" s="78"/>
      <c r="Q49" s="88">
        <f t="shared" ref="Q49" si="13">SUM(Q7:Q48)</f>
        <v>4</v>
      </c>
      <c r="R49" s="88">
        <f t="shared" ref="R49" si="14">SUM(R7:R48)</f>
        <v>0</v>
      </c>
      <c r="S49" s="88">
        <f>SUM(S7:S48)</f>
        <v>12</v>
      </c>
      <c r="T49" s="78"/>
      <c r="U49" s="78"/>
    </row>
  </sheetData>
  <mergeCells count="4">
    <mergeCell ref="B4:E4"/>
    <mergeCell ref="G4:J4"/>
    <mergeCell ref="L4:O4"/>
    <mergeCell ref="Q4:T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4"/>
  <sheetViews>
    <sheetView view="pageLayout" topLeftCell="A58" zoomScale="115" zoomScaleNormal="100" zoomScalePageLayoutView="115" workbookViewId="0">
      <selection activeCell="C72" sqref="C72"/>
    </sheetView>
  </sheetViews>
  <sheetFormatPr baseColWidth="10" defaultColWidth="10.28515625" defaultRowHeight="15" x14ac:dyDescent="0.25"/>
  <cols>
    <col min="1" max="1" width="4.28515625" customWidth="1"/>
    <col min="2" max="3" width="18.7109375" customWidth="1"/>
    <col min="4" max="4" width="16.140625" style="27" customWidth="1"/>
    <col min="5" max="5" width="22" style="27" customWidth="1"/>
    <col min="6" max="7" width="18.7109375" customWidth="1"/>
  </cols>
  <sheetData>
    <row r="1" spans="1:32" ht="26.25" x14ac:dyDescent="0.4">
      <c r="A1" s="240" t="s">
        <v>45</v>
      </c>
      <c r="B1" s="240"/>
      <c r="C1" s="240"/>
      <c r="D1" s="240"/>
      <c r="E1" s="240"/>
      <c r="F1" s="240"/>
      <c r="G1" s="240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5" spans="1:32" x14ac:dyDescent="0.25">
      <c r="A5" s="11" t="s">
        <v>3</v>
      </c>
      <c r="B5" s="11" t="s">
        <v>4</v>
      </c>
      <c r="C5" s="32" t="s">
        <v>192</v>
      </c>
      <c r="D5" s="26" t="s">
        <v>41</v>
      </c>
      <c r="E5" s="26" t="s">
        <v>42</v>
      </c>
      <c r="F5" s="12" t="s">
        <v>43</v>
      </c>
      <c r="G5" s="12" t="s">
        <v>44</v>
      </c>
    </row>
    <row r="6" spans="1:32" x14ac:dyDescent="0.25">
      <c r="A6" s="10">
        <v>1</v>
      </c>
      <c r="B6" s="15" t="s">
        <v>5</v>
      </c>
      <c r="C6" s="37"/>
      <c r="D6" s="237" t="s">
        <v>46</v>
      </c>
      <c r="E6" s="232"/>
      <c r="F6" s="9"/>
      <c r="G6" s="16">
        <v>1</v>
      </c>
    </row>
    <row r="7" spans="1:32" x14ac:dyDescent="0.25">
      <c r="A7" s="10">
        <v>2</v>
      </c>
      <c r="B7" s="15" t="s">
        <v>6</v>
      </c>
      <c r="C7" s="37"/>
      <c r="D7" s="238"/>
      <c r="E7" s="233"/>
      <c r="F7" s="9"/>
      <c r="G7" s="16">
        <v>1</v>
      </c>
    </row>
    <row r="8" spans="1:32" x14ac:dyDescent="0.25">
      <c r="A8" s="10">
        <v>3</v>
      </c>
      <c r="B8" s="15" t="s">
        <v>9</v>
      </c>
      <c r="C8" s="37"/>
      <c r="D8" s="237" t="s">
        <v>47</v>
      </c>
      <c r="E8" s="232">
        <v>558338348</v>
      </c>
      <c r="F8" s="9"/>
      <c r="G8" s="9"/>
    </row>
    <row r="9" spans="1:32" x14ac:dyDescent="0.25">
      <c r="A9" s="10">
        <v>4</v>
      </c>
      <c r="B9" s="15" t="s">
        <v>10</v>
      </c>
      <c r="C9" s="37"/>
      <c r="D9" s="238"/>
      <c r="E9" s="233"/>
      <c r="F9" s="9"/>
      <c r="G9" s="9"/>
    </row>
    <row r="10" spans="1:32" x14ac:dyDescent="0.25">
      <c r="A10" s="10">
        <v>5</v>
      </c>
      <c r="B10" s="15" t="s">
        <v>11</v>
      </c>
      <c r="C10" s="37"/>
      <c r="D10" s="237" t="s">
        <v>48</v>
      </c>
      <c r="E10" s="232">
        <v>671884805</v>
      </c>
      <c r="F10" s="9"/>
      <c r="G10" s="9"/>
    </row>
    <row r="11" spans="1:32" x14ac:dyDescent="0.25">
      <c r="A11" s="10">
        <v>6</v>
      </c>
      <c r="B11" s="15" t="s">
        <v>12</v>
      </c>
      <c r="C11" s="37"/>
      <c r="D11" s="238"/>
      <c r="E11" s="233"/>
      <c r="F11" s="9"/>
      <c r="G11" s="16">
        <v>1</v>
      </c>
    </row>
    <row r="12" spans="1:32" x14ac:dyDescent="0.25">
      <c r="A12" s="10">
        <v>7</v>
      </c>
      <c r="B12" s="15" t="s">
        <v>13</v>
      </c>
      <c r="C12" s="37"/>
      <c r="D12" s="237" t="s">
        <v>49</v>
      </c>
      <c r="E12" s="232">
        <v>661362936</v>
      </c>
      <c r="F12" s="9"/>
      <c r="G12" s="16">
        <v>1</v>
      </c>
    </row>
    <row r="13" spans="1:32" x14ac:dyDescent="0.25">
      <c r="A13" s="10">
        <v>8</v>
      </c>
      <c r="B13" s="15" t="s">
        <v>14</v>
      </c>
      <c r="C13" s="37"/>
      <c r="D13" s="238"/>
      <c r="E13" s="233"/>
      <c r="F13" s="9"/>
      <c r="G13" s="16">
        <v>1</v>
      </c>
    </row>
    <row r="14" spans="1:32" x14ac:dyDescent="0.25">
      <c r="A14" s="10">
        <v>9</v>
      </c>
      <c r="B14" s="15" t="s">
        <v>15</v>
      </c>
      <c r="C14" s="37" t="s">
        <v>198</v>
      </c>
      <c r="D14" s="31" t="s">
        <v>50</v>
      </c>
      <c r="E14" s="42">
        <v>661922020</v>
      </c>
      <c r="F14" s="9"/>
      <c r="G14" s="16">
        <v>1</v>
      </c>
    </row>
    <row r="15" spans="1:32" x14ac:dyDescent="0.25">
      <c r="A15" s="10">
        <v>10</v>
      </c>
      <c r="B15" s="15" t="s">
        <v>17</v>
      </c>
      <c r="C15" s="37"/>
      <c r="D15" s="237" t="s">
        <v>51</v>
      </c>
      <c r="E15" s="232">
        <v>698821000</v>
      </c>
      <c r="F15" s="9"/>
      <c r="G15" s="9"/>
    </row>
    <row r="16" spans="1:32" x14ac:dyDescent="0.25">
      <c r="A16" s="10">
        <v>11</v>
      </c>
      <c r="B16" s="15" t="s">
        <v>16</v>
      </c>
      <c r="C16" s="37"/>
      <c r="D16" s="238"/>
      <c r="E16" s="233"/>
      <c r="F16" s="9"/>
      <c r="G16" s="9"/>
    </row>
    <row r="17" spans="1:7" x14ac:dyDescent="0.25">
      <c r="A17" s="10">
        <v>12</v>
      </c>
      <c r="B17" s="15" t="s">
        <v>18</v>
      </c>
      <c r="C17" s="38">
        <v>42552</v>
      </c>
      <c r="D17" s="237" t="s">
        <v>52</v>
      </c>
      <c r="E17" s="232">
        <v>660101407</v>
      </c>
      <c r="F17" s="9"/>
      <c r="G17" s="16">
        <v>1</v>
      </c>
    </row>
    <row r="18" spans="1:7" x14ac:dyDescent="0.25">
      <c r="A18" s="10">
        <v>13</v>
      </c>
      <c r="B18" s="15" t="s">
        <v>19</v>
      </c>
      <c r="C18" s="37" t="s">
        <v>199</v>
      </c>
      <c r="D18" s="238"/>
      <c r="E18" s="233"/>
      <c r="F18" s="9"/>
      <c r="G18" s="16">
        <v>1</v>
      </c>
    </row>
    <row r="19" spans="1:7" x14ac:dyDescent="0.25">
      <c r="A19" s="10">
        <v>14</v>
      </c>
      <c r="B19" s="15" t="s">
        <v>20</v>
      </c>
      <c r="C19" s="38">
        <v>42887</v>
      </c>
      <c r="D19" s="241" t="s">
        <v>133</v>
      </c>
      <c r="E19" s="232">
        <v>663655394</v>
      </c>
      <c r="F19" s="9"/>
      <c r="G19" s="9"/>
    </row>
    <row r="20" spans="1:7" x14ac:dyDescent="0.25">
      <c r="A20" s="10">
        <v>15</v>
      </c>
      <c r="B20" s="15" t="s">
        <v>30</v>
      </c>
      <c r="C20" s="37"/>
      <c r="D20" s="242"/>
      <c r="E20" s="233"/>
      <c r="F20" s="9"/>
      <c r="G20" s="9"/>
    </row>
    <row r="21" spans="1:7" x14ac:dyDescent="0.25">
      <c r="A21" s="10">
        <v>16</v>
      </c>
      <c r="B21" s="15" t="s">
        <v>21</v>
      </c>
      <c r="C21" s="38">
        <v>43044</v>
      </c>
      <c r="D21" s="31" t="s">
        <v>53</v>
      </c>
      <c r="E21" s="42">
        <v>658149901</v>
      </c>
      <c r="F21" s="9"/>
      <c r="G21" s="16">
        <v>1</v>
      </c>
    </row>
    <row r="22" spans="1:7" x14ac:dyDescent="0.25">
      <c r="A22" s="10">
        <v>17</v>
      </c>
      <c r="B22" s="15" t="s">
        <v>22</v>
      </c>
      <c r="C22" s="38">
        <v>42255</v>
      </c>
      <c r="D22" s="31" t="s">
        <v>54</v>
      </c>
      <c r="E22" s="42">
        <v>661387971</v>
      </c>
      <c r="F22" s="9"/>
      <c r="G22" s="16">
        <v>1</v>
      </c>
    </row>
    <row r="23" spans="1:7" x14ac:dyDescent="0.25">
      <c r="A23" s="10">
        <v>18</v>
      </c>
      <c r="B23" s="15" t="s">
        <v>23</v>
      </c>
      <c r="C23" s="37" t="s">
        <v>196</v>
      </c>
      <c r="D23" s="31" t="s">
        <v>55</v>
      </c>
      <c r="E23" s="42">
        <v>673079482</v>
      </c>
      <c r="F23" s="9"/>
      <c r="G23" s="16">
        <v>1</v>
      </c>
    </row>
    <row r="24" spans="1:7" x14ac:dyDescent="0.25">
      <c r="A24" s="10">
        <v>19</v>
      </c>
      <c r="B24" s="15" t="s">
        <v>24</v>
      </c>
      <c r="C24" s="37" t="s">
        <v>206</v>
      </c>
      <c r="D24" s="31" t="s">
        <v>56</v>
      </c>
      <c r="E24" s="42">
        <v>664331461</v>
      </c>
      <c r="F24" s="9"/>
      <c r="G24" s="16">
        <v>1</v>
      </c>
    </row>
    <row r="25" spans="1:7" x14ac:dyDescent="0.25">
      <c r="A25" s="10">
        <v>20</v>
      </c>
      <c r="B25" s="15" t="s">
        <v>25</v>
      </c>
      <c r="C25" s="37"/>
      <c r="D25" s="237" t="s">
        <v>55</v>
      </c>
      <c r="E25" s="232">
        <v>663633402</v>
      </c>
      <c r="F25" s="9"/>
      <c r="G25" s="9"/>
    </row>
    <row r="26" spans="1:7" x14ac:dyDescent="0.25">
      <c r="A26" s="10">
        <v>21</v>
      </c>
      <c r="B26" s="15" t="s">
        <v>26</v>
      </c>
      <c r="C26" s="37"/>
      <c r="D26" s="238"/>
      <c r="E26" s="233"/>
      <c r="F26" s="9"/>
      <c r="G26" s="9"/>
    </row>
    <row r="27" spans="1:7" x14ac:dyDescent="0.25">
      <c r="A27" s="10">
        <v>22</v>
      </c>
      <c r="B27" s="15" t="s">
        <v>27</v>
      </c>
      <c r="C27" s="38">
        <v>43414</v>
      </c>
      <c r="D27" s="31" t="s">
        <v>52</v>
      </c>
      <c r="E27" s="42">
        <v>663447599</v>
      </c>
      <c r="F27" s="9"/>
      <c r="G27" s="16">
        <v>1</v>
      </c>
    </row>
    <row r="28" spans="1:7" x14ac:dyDescent="0.25">
      <c r="A28" s="10">
        <v>23</v>
      </c>
      <c r="B28" s="15" t="s">
        <v>28</v>
      </c>
      <c r="C28" s="37" t="s">
        <v>197</v>
      </c>
      <c r="D28" s="31" t="s">
        <v>57</v>
      </c>
      <c r="E28" s="42">
        <v>663560778</v>
      </c>
      <c r="F28" s="9"/>
      <c r="G28" s="16">
        <v>1</v>
      </c>
    </row>
    <row r="29" spans="1:7" x14ac:dyDescent="0.25">
      <c r="A29" s="10">
        <v>24</v>
      </c>
      <c r="B29" s="15" t="s">
        <v>31</v>
      </c>
      <c r="C29" s="37" t="s">
        <v>212</v>
      </c>
      <c r="D29" s="31"/>
      <c r="E29" s="42">
        <v>697579453</v>
      </c>
      <c r="F29" s="9"/>
      <c r="G29" s="16">
        <v>1</v>
      </c>
    </row>
    <row r="30" spans="1:7" x14ac:dyDescent="0.25">
      <c r="A30" s="10">
        <v>25</v>
      </c>
      <c r="B30" s="15" t="s">
        <v>32</v>
      </c>
      <c r="C30" s="37" t="s">
        <v>211</v>
      </c>
      <c r="D30" s="31"/>
      <c r="E30" s="42">
        <v>779564042</v>
      </c>
      <c r="F30" s="9"/>
      <c r="G30" s="16">
        <v>1</v>
      </c>
    </row>
    <row r="31" spans="1:7" x14ac:dyDescent="0.25">
      <c r="A31" s="10">
        <v>26</v>
      </c>
      <c r="B31" s="15" t="s">
        <v>33</v>
      </c>
      <c r="C31" s="37" t="s">
        <v>200</v>
      </c>
      <c r="D31" s="31" t="s">
        <v>58</v>
      </c>
      <c r="E31" s="42">
        <v>782651212</v>
      </c>
      <c r="F31" s="9"/>
      <c r="G31" s="16">
        <v>1</v>
      </c>
    </row>
    <row r="32" spans="1:7" x14ac:dyDescent="0.25">
      <c r="A32" s="10">
        <v>27</v>
      </c>
      <c r="B32" s="15" t="s">
        <v>36</v>
      </c>
      <c r="C32" s="38">
        <v>42705</v>
      </c>
      <c r="D32" s="31" t="s">
        <v>59</v>
      </c>
      <c r="E32" s="232">
        <v>773117305</v>
      </c>
      <c r="F32" s="9"/>
      <c r="G32" s="16">
        <v>1</v>
      </c>
    </row>
    <row r="33" spans="1:7" x14ac:dyDescent="0.25">
      <c r="A33" s="10">
        <v>28</v>
      </c>
      <c r="B33" s="15" t="s">
        <v>35</v>
      </c>
      <c r="C33" s="37" t="s">
        <v>202</v>
      </c>
      <c r="D33" s="31" t="s">
        <v>59</v>
      </c>
      <c r="E33" s="233"/>
      <c r="F33" s="9"/>
      <c r="G33" s="16">
        <v>1</v>
      </c>
    </row>
    <row r="34" spans="1:7" x14ac:dyDescent="0.25">
      <c r="A34" s="10">
        <v>29</v>
      </c>
      <c r="B34" s="15" t="s">
        <v>34</v>
      </c>
      <c r="C34" s="37" t="s">
        <v>201</v>
      </c>
      <c r="D34" s="31" t="s">
        <v>60</v>
      </c>
      <c r="E34" s="42" t="s">
        <v>92</v>
      </c>
      <c r="F34" s="9"/>
      <c r="G34" s="16">
        <v>1</v>
      </c>
    </row>
    <row r="35" spans="1:7" x14ac:dyDescent="0.25">
      <c r="A35" s="10">
        <v>30</v>
      </c>
      <c r="B35" s="15" t="s">
        <v>38</v>
      </c>
      <c r="C35" s="37" t="s">
        <v>213</v>
      </c>
      <c r="D35" s="31" t="s">
        <v>61</v>
      </c>
      <c r="E35" s="42">
        <v>699105052</v>
      </c>
      <c r="F35" s="9"/>
      <c r="G35" s="9"/>
    </row>
    <row r="36" spans="1:7" x14ac:dyDescent="0.25">
      <c r="A36" s="10">
        <v>31</v>
      </c>
      <c r="B36" s="15" t="s">
        <v>39</v>
      </c>
      <c r="C36" s="37" t="s">
        <v>214</v>
      </c>
      <c r="D36" s="31" t="s">
        <v>62</v>
      </c>
      <c r="E36" s="42">
        <v>554077022</v>
      </c>
      <c r="F36" s="9"/>
      <c r="G36" s="9"/>
    </row>
    <row r="37" spans="1:7" x14ac:dyDescent="0.25">
      <c r="A37" s="10">
        <v>32</v>
      </c>
      <c r="B37" s="15" t="s">
        <v>40</v>
      </c>
      <c r="C37" s="37" t="s">
        <v>193</v>
      </c>
      <c r="D37" s="31" t="s">
        <v>64</v>
      </c>
      <c r="E37" s="42">
        <v>675609460</v>
      </c>
      <c r="F37" s="9"/>
      <c r="G37" s="16">
        <v>1</v>
      </c>
    </row>
    <row r="38" spans="1:7" x14ac:dyDescent="0.25">
      <c r="A38" s="10">
        <v>33</v>
      </c>
      <c r="B38" s="36" t="s">
        <v>63</v>
      </c>
      <c r="C38" s="38">
        <v>42989</v>
      </c>
      <c r="D38" s="31" t="s">
        <v>65</v>
      </c>
      <c r="E38" s="42"/>
      <c r="F38" s="9"/>
      <c r="G38" s="16">
        <v>1</v>
      </c>
    </row>
    <row r="39" spans="1:7" x14ac:dyDescent="0.25">
      <c r="A39" s="10">
        <v>34</v>
      </c>
      <c r="B39" s="15" t="s">
        <v>67</v>
      </c>
      <c r="C39" s="37" t="s">
        <v>204</v>
      </c>
      <c r="D39" s="237" t="s">
        <v>93</v>
      </c>
      <c r="E39" s="232" t="s">
        <v>141</v>
      </c>
      <c r="F39" s="9"/>
      <c r="G39" s="16">
        <v>1</v>
      </c>
    </row>
    <row r="40" spans="1:7" x14ac:dyDescent="0.25">
      <c r="A40" s="10">
        <v>35</v>
      </c>
      <c r="B40" s="15" t="s">
        <v>68</v>
      </c>
      <c r="C40" s="37" t="s">
        <v>203</v>
      </c>
      <c r="D40" s="238"/>
      <c r="E40" s="233"/>
      <c r="F40" s="9"/>
      <c r="G40" s="16">
        <v>1</v>
      </c>
    </row>
    <row r="41" spans="1:7" x14ac:dyDescent="0.25">
      <c r="A41" s="10">
        <v>36</v>
      </c>
      <c r="B41" s="15" t="s">
        <v>69</v>
      </c>
      <c r="C41" s="38">
        <v>42895</v>
      </c>
      <c r="D41" s="237" t="s">
        <v>94</v>
      </c>
      <c r="E41" s="232" t="s">
        <v>140</v>
      </c>
      <c r="F41" s="9"/>
      <c r="G41" s="16">
        <v>1</v>
      </c>
    </row>
    <row r="42" spans="1:7" x14ac:dyDescent="0.25">
      <c r="A42" s="10">
        <v>37</v>
      </c>
      <c r="B42" s="15" t="s">
        <v>70</v>
      </c>
      <c r="C42" s="37" t="s">
        <v>210</v>
      </c>
      <c r="D42" s="239"/>
      <c r="E42" s="234"/>
      <c r="F42" s="9"/>
      <c r="G42" s="16">
        <v>1</v>
      </c>
    </row>
    <row r="43" spans="1:7" x14ac:dyDescent="0.25">
      <c r="A43" s="10">
        <v>38</v>
      </c>
      <c r="B43" s="24" t="s">
        <v>107</v>
      </c>
      <c r="C43" s="37"/>
      <c r="D43" s="238"/>
      <c r="E43" s="233"/>
      <c r="F43" s="9"/>
      <c r="G43" s="9"/>
    </row>
    <row r="44" spans="1:7" x14ac:dyDescent="0.25">
      <c r="A44" s="10">
        <v>39</v>
      </c>
      <c r="B44" s="25" t="s">
        <v>108</v>
      </c>
      <c r="C44" s="37" t="s">
        <v>208</v>
      </c>
      <c r="D44" s="237" t="s">
        <v>111</v>
      </c>
      <c r="E44" s="232" t="s">
        <v>139</v>
      </c>
      <c r="F44" s="9"/>
      <c r="G44" s="9"/>
    </row>
    <row r="45" spans="1:7" x14ac:dyDescent="0.25">
      <c r="A45" s="10">
        <v>40</v>
      </c>
      <c r="B45" s="25" t="s">
        <v>183</v>
      </c>
      <c r="C45" s="37" t="s">
        <v>209</v>
      </c>
      <c r="D45" s="238"/>
      <c r="E45" s="233"/>
      <c r="F45" s="9"/>
      <c r="G45" s="9"/>
    </row>
    <row r="46" spans="1:7" x14ac:dyDescent="0.25">
      <c r="A46" s="10">
        <v>41</v>
      </c>
      <c r="B46" s="25" t="s">
        <v>109</v>
      </c>
      <c r="C46" s="38">
        <v>42248</v>
      </c>
      <c r="D46" s="237" t="s">
        <v>112</v>
      </c>
      <c r="E46" s="232" t="s">
        <v>138</v>
      </c>
      <c r="F46" s="9"/>
      <c r="G46" s="16">
        <v>1</v>
      </c>
    </row>
    <row r="47" spans="1:7" x14ac:dyDescent="0.25">
      <c r="A47" s="10">
        <v>42</v>
      </c>
      <c r="B47" s="25" t="s">
        <v>110</v>
      </c>
      <c r="C47" s="38">
        <v>43079</v>
      </c>
      <c r="D47" s="238"/>
      <c r="E47" s="233"/>
      <c r="F47" s="9"/>
      <c r="G47" s="16">
        <v>1</v>
      </c>
    </row>
    <row r="48" spans="1:7" x14ac:dyDescent="0.25">
      <c r="A48" s="10">
        <v>43</v>
      </c>
      <c r="B48" s="25" t="s">
        <v>128</v>
      </c>
      <c r="C48" s="37" t="s">
        <v>195</v>
      </c>
      <c r="D48" s="31" t="s">
        <v>134</v>
      </c>
      <c r="E48" s="42">
        <v>660334109</v>
      </c>
      <c r="F48" s="9"/>
      <c r="G48" s="9"/>
    </row>
    <row r="49" spans="1:7" x14ac:dyDescent="0.25">
      <c r="A49" s="10">
        <v>44</v>
      </c>
      <c r="B49" s="25" t="s">
        <v>129</v>
      </c>
      <c r="C49" s="37"/>
      <c r="D49" s="31" t="s">
        <v>135</v>
      </c>
      <c r="E49" s="42">
        <v>780325786</v>
      </c>
      <c r="F49" s="9"/>
      <c r="G49" s="9"/>
    </row>
    <row r="50" spans="1:7" x14ac:dyDescent="0.25">
      <c r="A50" s="10">
        <v>45</v>
      </c>
      <c r="B50" s="25" t="s">
        <v>125</v>
      </c>
      <c r="C50" s="38">
        <v>43446</v>
      </c>
      <c r="D50" s="31" t="s">
        <v>136</v>
      </c>
      <c r="E50" s="42">
        <v>796080821</v>
      </c>
      <c r="F50" s="9"/>
      <c r="G50" s="9"/>
    </row>
    <row r="51" spans="1:7" x14ac:dyDescent="0.25">
      <c r="A51" s="10">
        <v>46</v>
      </c>
      <c r="B51" s="25" t="s">
        <v>126</v>
      </c>
      <c r="C51" s="37" t="s">
        <v>194</v>
      </c>
      <c r="D51" s="226" t="s">
        <v>137</v>
      </c>
      <c r="E51" s="232">
        <v>662496951</v>
      </c>
      <c r="F51" s="9"/>
      <c r="G51" s="9"/>
    </row>
    <row r="52" spans="1:7" x14ac:dyDescent="0.25">
      <c r="A52" s="10">
        <v>47</v>
      </c>
      <c r="B52" s="25" t="s">
        <v>127</v>
      </c>
      <c r="C52" s="37" t="s">
        <v>205</v>
      </c>
      <c r="D52" s="228"/>
      <c r="E52" s="233"/>
      <c r="F52" s="9"/>
      <c r="G52" s="9"/>
    </row>
    <row r="53" spans="1:7" x14ac:dyDescent="0.25">
      <c r="A53" s="10">
        <v>48</v>
      </c>
      <c r="B53" s="25" t="s">
        <v>142</v>
      </c>
      <c r="C53" s="37"/>
      <c r="D53" s="31"/>
      <c r="E53" s="43">
        <v>558338348</v>
      </c>
      <c r="F53" s="9"/>
      <c r="G53" s="9"/>
    </row>
    <row r="54" spans="1:7" x14ac:dyDescent="0.25">
      <c r="A54" s="10">
        <v>49</v>
      </c>
      <c r="B54" s="25" t="s">
        <v>130</v>
      </c>
      <c r="C54" s="38">
        <v>44257</v>
      </c>
      <c r="D54" s="31"/>
      <c r="E54" s="42" t="s">
        <v>92</v>
      </c>
      <c r="F54" s="9"/>
      <c r="G54" s="9"/>
    </row>
    <row r="55" spans="1:7" x14ac:dyDescent="0.25">
      <c r="A55" s="10">
        <v>50</v>
      </c>
      <c r="B55" s="25" t="s">
        <v>131</v>
      </c>
      <c r="C55" s="37" t="s">
        <v>207</v>
      </c>
      <c r="D55" s="31" t="s">
        <v>135</v>
      </c>
      <c r="E55" s="44">
        <v>780325786</v>
      </c>
      <c r="F55" s="9"/>
      <c r="G55" s="9"/>
    </row>
    <row r="56" spans="1:7" x14ac:dyDescent="0.25">
      <c r="A56" s="10">
        <v>51</v>
      </c>
      <c r="B56" s="25" t="s">
        <v>146</v>
      </c>
      <c r="C56" s="37" t="s">
        <v>216</v>
      </c>
      <c r="D56" s="31" t="s">
        <v>233</v>
      </c>
      <c r="E56" s="42">
        <v>657314918</v>
      </c>
      <c r="F56" s="9"/>
      <c r="G56" s="9"/>
    </row>
    <row r="57" spans="1:7" x14ac:dyDescent="0.25">
      <c r="A57" s="10">
        <v>52</v>
      </c>
      <c r="B57" s="25" t="s">
        <v>147</v>
      </c>
      <c r="C57" s="38">
        <v>43505</v>
      </c>
      <c r="D57" s="31" t="s">
        <v>53</v>
      </c>
      <c r="E57" s="232">
        <v>697399039</v>
      </c>
      <c r="F57" s="9"/>
      <c r="G57" s="9"/>
    </row>
    <row r="58" spans="1:7" x14ac:dyDescent="0.25">
      <c r="A58" s="10">
        <v>53</v>
      </c>
      <c r="B58" s="25" t="s">
        <v>148</v>
      </c>
      <c r="C58" s="38">
        <v>43163</v>
      </c>
      <c r="D58" s="31"/>
      <c r="E58" s="234"/>
      <c r="F58" s="9"/>
      <c r="G58" s="9"/>
    </row>
    <row r="59" spans="1:7" x14ac:dyDescent="0.25">
      <c r="A59" s="10">
        <v>54</v>
      </c>
      <c r="B59" s="25" t="s">
        <v>149</v>
      </c>
      <c r="C59" s="38">
        <v>40971</v>
      </c>
      <c r="D59" s="31"/>
      <c r="E59" s="233"/>
      <c r="F59" s="9"/>
      <c r="G59" s="9"/>
    </row>
    <row r="60" spans="1:7" x14ac:dyDescent="0.25">
      <c r="A60" s="10">
        <v>55</v>
      </c>
      <c r="B60" s="25" t="s">
        <v>158</v>
      </c>
      <c r="C60" s="38">
        <v>43772</v>
      </c>
      <c r="D60" s="31" t="s">
        <v>135</v>
      </c>
      <c r="E60" s="235" t="s">
        <v>243</v>
      </c>
      <c r="F60" s="9"/>
      <c r="G60" s="9"/>
    </row>
    <row r="61" spans="1:7" x14ac:dyDescent="0.25">
      <c r="A61" s="10">
        <v>56</v>
      </c>
      <c r="B61" s="25" t="s">
        <v>224</v>
      </c>
      <c r="C61" s="38">
        <v>42593</v>
      </c>
      <c r="D61" s="31" t="s">
        <v>158</v>
      </c>
      <c r="E61" s="236"/>
      <c r="F61" s="9"/>
      <c r="G61" s="9"/>
    </row>
    <row r="62" spans="1:7" x14ac:dyDescent="0.25">
      <c r="A62" s="10">
        <v>57</v>
      </c>
      <c r="B62" s="25" t="s">
        <v>164</v>
      </c>
      <c r="C62" s="37" t="s">
        <v>225</v>
      </c>
      <c r="D62" s="31" t="s">
        <v>234</v>
      </c>
      <c r="E62" s="42">
        <v>663343416</v>
      </c>
      <c r="F62" s="9"/>
      <c r="G62" s="9"/>
    </row>
    <row r="63" spans="1:7" x14ac:dyDescent="0.25">
      <c r="A63" s="10">
        <v>58</v>
      </c>
      <c r="B63" s="25" t="s">
        <v>163</v>
      </c>
      <c r="C63" s="37" t="s">
        <v>218</v>
      </c>
      <c r="D63" s="31" t="s">
        <v>235</v>
      </c>
      <c r="E63" s="232">
        <v>660890805</v>
      </c>
      <c r="F63" s="9"/>
      <c r="G63" s="9"/>
    </row>
    <row r="64" spans="1:7" x14ac:dyDescent="0.25">
      <c r="A64" s="10">
        <v>59</v>
      </c>
      <c r="B64" s="25" t="s">
        <v>162</v>
      </c>
      <c r="C64" s="37" t="s">
        <v>219</v>
      </c>
      <c r="D64" s="31"/>
      <c r="E64" s="233"/>
      <c r="F64" s="9"/>
      <c r="G64" s="9"/>
    </row>
    <row r="65" spans="1:7" x14ac:dyDescent="0.25">
      <c r="A65" s="10">
        <v>60</v>
      </c>
      <c r="B65" s="25" t="s">
        <v>159</v>
      </c>
      <c r="C65" s="37" t="s">
        <v>215</v>
      </c>
      <c r="D65" s="31" t="s">
        <v>236</v>
      </c>
      <c r="E65" s="42">
        <v>660710077</v>
      </c>
      <c r="F65" s="9"/>
      <c r="G65" s="9"/>
    </row>
    <row r="66" spans="1:7" x14ac:dyDescent="0.25">
      <c r="A66" s="10">
        <v>61</v>
      </c>
      <c r="B66" s="25" t="s">
        <v>160</v>
      </c>
      <c r="C66" s="37" t="s">
        <v>217</v>
      </c>
      <c r="D66" s="31" t="s">
        <v>237</v>
      </c>
      <c r="E66" s="232">
        <v>797604420</v>
      </c>
      <c r="F66" s="9"/>
      <c r="G66" s="9"/>
    </row>
    <row r="67" spans="1:7" x14ac:dyDescent="0.25">
      <c r="A67" s="10">
        <v>62</v>
      </c>
      <c r="B67" s="25" t="s">
        <v>161</v>
      </c>
      <c r="C67" s="38">
        <v>43505</v>
      </c>
      <c r="D67" s="31"/>
      <c r="E67" s="233"/>
      <c r="F67" s="9"/>
      <c r="G67" s="9"/>
    </row>
    <row r="68" spans="1:7" x14ac:dyDescent="0.25">
      <c r="A68" s="10">
        <v>63</v>
      </c>
      <c r="B68" s="25" t="s">
        <v>166</v>
      </c>
      <c r="C68" s="38">
        <v>43654</v>
      </c>
      <c r="D68" s="31" t="s">
        <v>58</v>
      </c>
      <c r="E68" s="232">
        <v>660440377</v>
      </c>
      <c r="F68" s="9"/>
      <c r="G68" s="9"/>
    </row>
    <row r="69" spans="1:7" x14ac:dyDescent="0.25">
      <c r="A69" s="10">
        <v>64</v>
      </c>
      <c r="B69" s="25" t="s">
        <v>167</v>
      </c>
      <c r="C69" s="38">
        <v>43137</v>
      </c>
      <c r="D69" s="31"/>
      <c r="E69" s="233"/>
      <c r="F69" s="9"/>
      <c r="G69" s="9"/>
    </row>
    <row r="70" spans="1:7" x14ac:dyDescent="0.25">
      <c r="A70" s="10">
        <v>65</v>
      </c>
      <c r="B70" s="25" t="s">
        <v>168</v>
      </c>
      <c r="C70" s="37"/>
      <c r="D70" s="226" t="s">
        <v>238</v>
      </c>
      <c r="E70" s="232">
        <v>562627709</v>
      </c>
      <c r="F70" s="9"/>
      <c r="G70" s="9"/>
    </row>
    <row r="71" spans="1:7" x14ac:dyDescent="0.25">
      <c r="A71" s="10">
        <v>66</v>
      </c>
      <c r="B71" s="25" t="s">
        <v>169</v>
      </c>
      <c r="C71" s="37"/>
      <c r="D71" s="227"/>
      <c r="E71" s="234"/>
      <c r="F71" s="9"/>
      <c r="G71" s="9"/>
    </row>
    <row r="72" spans="1:7" x14ac:dyDescent="0.25">
      <c r="A72" s="10">
        <v>67</v>
      </c>
      <c r="B72" s="25" t="s">
        <v>170</v>
      </c>
      <c r="C72" s="37"/>
      <c r="D72" s="228"/>
      <c r="E72" s="233"/>
      <c r="F72" s="9"/>
      <c r="G72" s="9"/>
    </row>
    <row r="73" spans="1:7" x14ac:dyDescent="0.25">
      <c r="A73" s="10">
        <v>68</v>
      </c>
      <c r="B73" s="25" t="s">
        <v>171</v>
      </c>
      <c r="C73" s="38">
        <v>42131</v>
      </c>
      <c r="D73" s="31" t="s">
        <v>239</v>
      </c>
      <c r="E73" s="42">
        <v>676120701</v>
      </c>
      <c r="F73" s="9"/>
      <c r="G73" s="9"/>
    </row>
    <row r="74" spans="1:7" x14ac:dyDescent="0.25">
      <c r="A74" s="10">
        <v>69</v>
      </c>
      <c r="B74" s="25" t="s">
        <v>180</v>
      </c>
      <c r="C74" s="37" t="s">
        <v>222</v>
      </c>
      <c r="D74" s="31" t="s">
        <v>244</v>
      </c>
      <c r="E74" s="42">
        <v>671334288</v>
      </c>
      <c r="F74" s="9"/>
      <c r="G74" s="9"/>
    </row>
    <row r="75" spans="1:7" x14ac:dyDescent="0.25">
      <c r="A75" s="10">
        <v>70</v>
      </c>
      <c r="B75" s="25" t="s">
        <v>181</v>
      </c>
      <c r="C75" s="38">
        <v>43344</v>
      </c>
      <c r="D75" s="31" t="s">
        <v>240</v>
      </c>
      <c r="E75" s="42">
        <v>774805232</v>
      </c>
      <c r="F75" s="9"/>
      <c r="G75" s="9"/>
    </row>
    <row r="76" spans="1:7" x14ac:dyDescent="0.25">
      <c r="A76" s="10">
        <v>71</v>
      </c>
      <c r="B76" s="25" t="s">
        <v>182</v>
      </c>
      <c r="C76" s="37" t="s">
        <v>223</v>
      </c>
      <c r="D76" s="31" t="s">
        <v>47</v>
      </c>
      <c r="E76" s="42">
        <v>540321888</v>
      </c>
      <c r="F76" s="9"/>
      <c r="G76" s="9"/>
    </row>
    <row r="77" spans="1:7" x14ac:dyDescent="0.25">
      <c r="A77" s="10">
        <v>72</v>
      </c>
      <c r="B77" s="25" t="s">
        <v>188</v>
      </c>
      <c r="C77" s="37" t="s">
        <v>220</v>
      </c>
      <c r="D77" s="226" t="s">
        <v>249</v>
      </c>
      <c r="E77" s="229">
        <v>657096039</v>
      </c>
      <c r="F77" s="9"/>
      <c r="G77" s="9"/>
    </row>
    <row r="78" spans="1:7" x14ac:dyDescent="0.25">
      <c r="A78" s="10">
        <v>73</v>
      </c>
      <c r="B78" s="25" t="s">
        <v>189</v>
      </c>
      <c r="C78" s="38">
        <v>43712</v>
      </c>
      <c r="D78" s="227"/>
      <c r="E78" s="230"/>
      <c r="F78" s="9"/>
      <c r="G78" s="9"/>
    </row>
    <row r="79" spans="1:7" x14ac:dyDescent="0.25">
      <c r="A79" s="10">
        <v>74</v>
      </c>
      <c r="B79" s="25" t="s">
        <v>221</v>
      </c>
      <c r="C79" s="38">
        <v>43931</v>
      </c>
      <c r="D79" s="228"/>
      <c r="E79" s="231"/>
      <c r="F79" s="9"/>
      <c r="G79" s="9"/>
    </row>
    <row r="80" spans="1:7" x14ac:dyDescent="0.25">
      <c r="A80" s="10">
        <v>75</v>
      </c>
      <c r="B80" s="25" t="s">
        <v>187</v>
      </c>
      <c r="C80" s="38">
        <v>42767</v>
      </c>
      <c r="D80" s="31" t="s">
        <v>241</v>
      </c>
      <c r="E80" s="42">
        <v>673790658</v>
      </c>
      <c r="F80" s="9"/>
      <c r="G80" s="9"/>
    </row>
    <row r="81" spans="1:7" x14ac:dyDescent="0.25">
      <c r="A81" s="10">
        <v>76</v>
      </c>
      <c r="B81" s="25" t="s">
        <v>227</v>
      </c>
      <c r="C81" s="33"/>
      <c r="D81" s="31" t="s">
        <v>242</v>
      </c>
      <c r="E81" s="42">
        <v>662403428</v>
      </c>
      <c r="F81" s="9"/>
      <c r="G81" s="9"/>
    </row>
    <row r="82" spans="1:7" x14ac:dyDescent="0.25">
      <c r="A82" s="10">
        <v>77</v>
      </c>
      <c r="B82" s="106" t="s">
        <v>252</v>
      </c>
      <c r="C82" s="33"/>
      <c r="D82" s="31"/>
      <c r="E82" s="42"/>
      <c r="F82" s="9"/>
      <c r="G82" s="9"/>
    </row>
    <row r="83" spans="1:7" x14ac:dyDescent="0.25">
      <c r="A83" s="10">
        <v>78</v>
      </c>
      <c r="B83" s="25" t="s">
        <v>253</v>
      </c>
      <c r="C83" s="33"/>
      <c r="D83" s="31"/>
      <c r="E83" s="42"/>
      <c r="F83" s="9"/>
      <c r="G83" s="9"/>
    </row>
    <row r="84" spans="1:7" x14ac:dyDescent="0.25">
      <c r="A84" s="10">
        <v>79</v>
      </c>
      <c r="B84" s="25" t="s">
        <v>254</v>
      </c>
      <c r="C84" s="33"/>
      <c r="D84" s="31"/>
      <c r="E84" s="42"/>
      <c r="F84" s="9"/>
      <c r="G84" s="9"/>
    </row>
    <row r="85" spans="1:7" x14ac:dyDescent="0.25">
      <c r="A85" s="10">
        <v>80</v>
      </c>
      <c r="B85" s="25" t="s">
        <v>255</v>
      </c>
      <c r="C85" s="33"/>
      <c r="D85" s="31"/>
      <c r="E85" s="42"/>
      <c r="F85" s="9"/>
      <c r="G85" s="9"/>
    </row>
    <row r="86" spans="1:7" x14ac:dyDescent="0.25">
      <c r="A86" s="10">
        <v>81</v>
      </c>
      <c r="B86" s="25" t="s">
        <v>256</v>
      </c>
      <c r="C86" s="33"/>
      <c r="D86" s="31"/>
      <c r="E86" s="42"/>
      <c r="F86" s="9"/>
      <c r="G86" s="9"/>
    </row>
    <row r="87" spans="1:7" x14ac:dyDescent="0.25">
      <c r="A87" s="10">
        <v>82</v>
      </c>
      <c r="B87" s="25" t="s">
        <v>257</v>
      </c>
      <c r="C87" s="33"/>
      <c r="D87" s="31"/>
      <c r="E87" s="42"/>
      <c r="F87" s="9"/>
      <c r="G87" s="9"/>
    </row>
    <row r="88" spans="1:7" x14ac:dyDescent="0.25">
      <c r="A88" s="10">
        <v>83</v>
      </c>
      <c r="B88" s="25" t="s">
        <v>271</v>
      </c>
      <c r="C88" s="33"/>
      <c r="D88" s="31"/>
      <c r="E88" s="42"/>
      <c r="F88" s="9"/>
      <c r="G88" s="9"/>
    </row>
    <row r="89" spans="1:7" x14ac:dyDescent="0.25">
      <c r="A89" s="10">
        <v>84</v>
      </c>
      <c r="B89" s="25" t="s">
        <v>264</v>
      </c>
      <c r="C89" s="33"/>
      <c r="D89" s="31"/>
      <c r="E89" s="42"/>
      <c r="F89" s="9"/>
      <c r="G89" s="9"/>
    </row>
    <row r="90" spans="1:7" x14ac:dyDescent="0.25">
      <c r="A90" s="10">
        <v>85</v>
      </c>
      <c r="B90" s="25" t="s">
        <v>265</v>
      </c>
      <c r="C90" s="33"/>
      <c r="D90" s="31"/>
      <c r="E90" s="42"/>
      <c r="F90" s="9"/>
      <c r="G90" s="9"/>
    </row>
    <row r="91" spans="1:7" x14ac:dyDescent="0.25">
      <c r="A91" s="10">
        <v>86</v>
      </c>
      <c r="B91" s="25" t="s">
        <v>266</v>
      </c>
      <c r="C91" s="33"/>
      <c r="D91" s="31"/>
      <c r="E91" s="42"/>
      <c r="F91" s="9"/>
      <c r="G91" s="9"/>
    </row>
    <row r="92" spans="1:7" x14ac:dyDescent="0.25">
      <c r="A92" s="10">
        <v>87</v>
      </c>
      <c r="B92" s="25" t="s">
        <v>267</v>
      </c>
      <c r="C92" s="33"/>
      <c r="D92" s="31"/>
      <c r="E92" s="42"/>
      <c r="F92" s="9"/>
      <c r="G92" s="9"/>
    </row>
    <row r="93" spans="1:7" x14ac:dyDescent="0.25">
      <c r="A93" s="10">
        <v>88</v>
      </c>
      <c r="B93" s="25" t="s">
        <v>268</v>
      </c>
      <c r="C93" s="33"/>
      <c r="D93" s="31"/>
      <c r="E93" s="42"/>
      <c r="F93" s="9"/>
      <c r="G93" s="9"/>
    </row>
    <row r="94" spans="1:7" x14ac:dyDescent="0.25">
      <c r="A94" s="10">
        <v>89</v>
      </c>
      <c r="B94" s="25" t="s">
        <v>270</v>
      </c>
      <c r="C94" s="33"/>
      <c r="D94" s="31"/>
      <c r="E94" s="42"/>
      <c r="F94" s="9"/>
      <c r="G94" s="9"/>
    </row>
    <row r="95" spans="1:7" x14ac:dyDescent="0.25">
      <c r="A95" s="10">
        <v>90</v>
      </c>
      <c r="B95" s="25" t="s">
        <v>290</v>
      </c>
      <c r="C95" s="33"/>
      <c r="D95" s="31"/>
      <c r="E95" s="42"/>
      <c r="F95" s="9"/>
      <c r="G95" s="9"/>
    </row>
    <row r="96" spans="1:7" x14ac:dyDescent="0.25">
      <c r="A96" s="10">
        <v>91</v>
      </c>
      <c r="B96" s="25" t="s">
        <v>287</v>
      </c>
      <c r="C96" s="33"/>
      <c r="D96" s="31"/>
      <c r="E96" s="42"/>
      <c r="F96" s="9"/>
      <c r="G96" s="9"/>
    </row>
    <row r="97" spans="1:7" x14ac:dyDescent="0.25">
      <c r="A97" s="10">
        <v>92</v>
      </c>
      <c r="B97" s="25" t="s">
        <v>298</v>
      </c>
      <c r="C97" s="33"/>
      <c r="D97" s="31"/>
      <c r="E97" s="42"/>
      <c r="F97" s="9"/>
      <c r="G97" s="9"/>
    </row>
    <row r="98" spans="1:7" x14ac:dyDescent="0.25">
      <c r="A98" s="10">
        <v>93</v>
      </c>
      <c r="B98" s="30"/>
      <c r="C98" s="33"/>
      <c r="D98" s="31"/>
      <c r="E98" s="42"/>
      <c r="F98" s="9"/>
      <c r="G98" s="9"/>
    </row>
    <row r="99" spans="1:7" x14ac:dyDescent="0.25">
      <c r="A99" s="10">
        <v>94</v>
      </c>
      <c r="B99" s="30"/>
      <c r="C99" s="33"/>
      <c r="D99" s="31"/>
      <c r="E99" s="42"/>
      <c r="F99" s="9"/>
      <c r="G99" s="9"/>
    </row>
    <row r="100" spans="1:7" x14ac:dyDescent="0.25">
      <c r="A100" s="10">
        <v>95</v>
      </c>
      <c r="B100" s="29"/>
      <c r="C100" s="33"/>
      <c r="D100" s="31"/>
      <c r="E100" s="42"/>
      <c r="F100" s="9"/>
      <c r="G100" s="9"/>
    </row>
    <row r="101" spans="1:7" x14ac:dyDescent="0.25">
      <c r="A101" s="10">
        <v>96</v>
      </c>
      <c r="B101" s="29"/>
      <c r="C101" s="33"/>
      <c r="D101" s="31"/>
      <c r="E101" s="42"/>
      <c r="F101" s="9"/>
      <c r="G101" s="9"/>
    </row>
    <row r="102" spans="1:7" x14ac:dyDescent="0.25">
      <c r="A102" s="10">
        <v>97</v>
      </c>
      <c r="B102" s="29"/>
      <c r="C102" s="33"/>
      <c r="D102" s="31"/>
      <c r="E102" s="42"/>
      <c r="F102" s="9"/>
      <c r="G102" s="9"/>
    </row>
    <row r="103" spans="1:7" x14ac:dyDescent="0.25">
      <c r="A103" s="10">
        <v>98</v>
      </c>
      <c r="B103" s="29"/>
      <c r="C103" s="33"/>
      <c r="D103" s="31"/>
      <c r="E103" s="42"/>
      <c r="F103" s="9"/>
      <c r="G103" s="9"/>
    </row>
    <row r="104" spans="1:7" x14ac:dyDescent="0.25">
      <c r="A104" s="10">
        <v>99</v>
      </c>
      <c r="B104" s="29"/>
      <c r="C104" s="33"/>
      <c r="D104" s="31"/>
      <c r="E104" s="42"/>
      <c r="F104" s="9"/>
      <c r="G104" s="9"/>
    </row>
    <row r="105" spans="1:7" x14ac:dyDescent="0.25">
      <c r="A105" s="10">
        <v>100</v>
      </c>
      <c r="B105" s="29"/>
      <c r="C105" s="33"/>
      <c r="D105" s="31"/>
      <c r="E105" s="42"/>
      <c r="F105" s="9"/>
      <c r="G105" s="9"/>
    </row>
    <row r="106" spans="1:7" x14ac:dyDescent="0.25">
      <c r="A106" s="10">
        <v>101</v>
      </c>
      <c r="B106" s="29"/>
      <c r="C106" s="33"/>
      <c r="D106" s="31"/>
      <c r="E106" s="42"/>
      <c r="F106" s="9"/>
      <c r="G106" s="9"/>
    </row>
    <row r="107" spans="1:7" x14ac:dyDescent="0.25">
      <c r="A107" s="10">
        <v>102</v>
      </c>
      <c r="B107" s="29"/>
      <c r="C107" s="33"/>
      <c r="D107" s="31"/>
      <c r="E107" s="42"/>
      <c r="F107" s="9"/>
      <c r="G107" s="9"/>
    </row>
    <row r="108" spans="1:7" x14ac:dyDescent="0.25">
      <c r="A108" s="10">
        <v>103</v>
      </c>
      <c r="B108" s="29"/>
      <c r="C108" s="34"/>
      <c r="D108" s="31"/>
      <c r="E108" s="42"/>
      <c r="F108" s="9"/>
      <c r="G108" s="9"/>
    </row>
    <row r="109" spans="1:7" x14ac:dyDescent="0.25">
      <c r="A109" s="10">
        <v>104</v>
      </c>
      <c r="B109" s="29"/>
      <c r="C109" s="34"/>
      <c r="D109" s="31"/>
      <c r="E109" s="42"/>
      <c r="F109" s="9"/>
      <c r="G109" s="9"/>
    </row>
    <row r="110" spans="1:7" x14ac:dyDescent="0.25">
      <c r="A110" s="10">
        <v>105</v>
      </c>
      <c r="B110" s="29"/>
      <c r="C110" s="34"/>
      <c r="D110" s="31"/>
      <c r="E110" s="42"/>
      <c r="F110" s="9"/>
      <c r="G110" s="9"/>
    </row>
    <row r="111" spans="1:7" x14ac:dyDescent="0.25">
      <c r="A111" s="10">
        <v>106</v>
      </c>
      <c r="B111" s="29"/>
      <c r="C111" s="34"/>
      <c r="D111" s="31"/>
      <c r="E111" s="42"/>
      <c r="F111" s="9"/>
      <c r="G111" s="9"/>
    </row>
    <row r="112" spans="1:7" x14ac:dyDescent="0.25">
      <c r="A112" s="10">
        <v>107</v>
      </c>
      <c r="B112" s="29"/>
      <c r="C112" s="34"/>
      <c r="D112" s="31"/>
      <c r="E112" s="42"/>
      <c r="F112" s="9"/>
      <c r="G112" s="9"/>
    </row>
    <row r="113" spans="1:7" x14ac:dyDescent="0.25">
      <c r="A113" s="10">
        <v>108</v>
      </c>
      <c r="B113" s="29"/>
      <c r="C113" s="34"/>
      <c r="D113" s="31"/>
      <c r="E113" s="42"/>
      <c r="F113" s="9"/>
      <c r="G113" s="9"/>
    </row>
    <row r="114" spans="1:7" x14ac:dyDescent="0.25">
      <c r="C114" s="35"/>
      <c r="G114">
        <f>SUM(G6:G113)</f>
        <v>28</v>
      </c>
    </row>
  </sheetData>
  <mergeCells count="37">
    <mergeCell ref="A1:G1"/>
    <mergeCell ref="D25:D26"/>
    <mergeCell ref="E25:E26"/>
    <mergeCell ref="D17:D18"/>
    <mergeCell ref="E17:E18"/>
    <mergeCell ref="D15:D16"/>
    <mergeCell ref="E15:E16"/>
    <mergeCell ref="D10:D11"/>
    <mergeCell ref="E10:E11"/>
    <mergeCell ref="D8:D9"/>
    <mergeCell ref="E8:E9"/>
    <mergeCell ref="D6:D7"/>
    <mergeCell ref="E6:E7"/>
    <mergeCell ref="D12:D13"/>
    <mergeCell ref="E12:E13"/>
    <mergeCell ref="D19:D20"/>
    <mergeCell ref="E19:E20"/>
    <mergeCell ref="E32:E33"/>
    <mergeCell ref="D39:D40"/>
    <mergeCell ref="E39:E40"/>
    <mergeCell ref="D46:D47"/>
    <mergeCell ref="E46:E47"/>
    <mergeCell ref="D44:D45"/>
    <mergeCell ref="E44:E45"/>
    <mergeCell ref="D41:D43"/>
    <mergeCell ref="E41:E43"/>
    <mergeCell ref="D77:D79"/>
    <mergeCell ref="E77:E79"/>
    <mergeCell ref="D70:D72"/>
    <mergeCell ref="D51:D52"/>
    <mergeCell ref="E51:E52"/>
    <mergeCell ref="E66:E67"/>
    <mergeCell ref="E68:E69"/>
    <mergeCell ref="E70:E72"/>
    <mergeCell ref="E60:E61"/>
    <mergeCell ref="E57:E59"/>
    <mergeCell ref="E63:E64"/>
  </mergeCells>
  <pageMargins left="0.25" right="0.25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8"/>
  <sheetViews>
    <sheetView view="pageLayout" topLeftCell="A41" zoomScaleNormal="100" workbookViewId="0">
      <selection activeCell="G79" sqref="G79"/>
    </sheetView>
  </sheetViews>
  <sheetFormatPr baseColWidth="10" defaultColWidth="10.7109375" defaultRowHeight="15" x14ac:dyDescent="0.25"/>
  <cols>
    <col min="1" max="1" width="7.140625" customWidth="1"/>
    <col min="2" max="3" width="12.140625" customWidth="1"/>
    <col min="4" max="4" width="9.42578125" customWidth="1"/>
    <col min="5" max="5" width="11.28515625" customWidth="1"/>
    <col min="6" max="6" width="12.28515625" customWidth="1"/>
    <col min="7" max="7" width="28" customWidth="1"/>
    <col min="8" max="8" width="5.140625" customWidth="1"/>
  </cols>
  <sheetData>
    <row r="1" spans="1:10" ht="38.25" customHeight="1" x14ac:dyDescent="0.25">
      <c r="A1" s="243" t="s">
        <v>100</v>
      </c>
      <c r="B1" s="243"/>
      <c r="C1" s="243"/>
      <c r="D1" s="243"/>
      <c r="E1" s="243"/>
      <c r="F1" s="243"/>
      <c r="G1" s="243"/>
      <c r="H1" s="243"/>
      <c r="I1" s="23"/>
    </row>
    <row r="3" spans="1:10" ht="20.25" customHeight="1" x14ac:dyDescent="0.25">
      <c r="B3" s="22" t="s">
        <v>106</v>
      </c>
      <c r="C3" s="22" t="s">
        <v>105</v>
      </c>
      <c r="D3" s="22" t="s">
        <v>104</v>
      </c>
      <c r="E3" s="22" t="s">
        <v>103</v>
      </c>
      <c r="F3" s="22" t="s">
        <v>102</v>
      </c>
      <c r="G3" s="22" t="s">
        <v>101</v>
      </c>
      <c r="H3" s="22" t="s">
        <v>71</v>
      </c>
    </row>
    <row r="4" spans="1:10" x14ac:dyDescent="0.25">
      <c r="B4" s="17" t="str">
        <f>I4</f>
        <v>YES</v>
      </c>
      <c r="C4" s="17">
        <v>1</v>
      </c>
      <c r="D4" s="17">
        <v>1</v>
      </c>
      <c r="E4" s="17">
        <v>1</v>
      </c>
      <c r="F4" s="17">
        <v>1</v>
      </c>
      <c r="G4" s="21" t="s">
        <v>5</v>
      </c>
      <c r="H4" s="18">
        <v>1</v>
      </c>
      <c r="I4" t="str">
        <f>IF(J4&gt;3, "YES",".")</f>
        <v>YES</v>
      </c>
      <c r="J4">
        <f>F4+E4+D4+C4</f>
        <v>4</v>
      </c>
    </row>
    <row r="5" spans="1:10" x14ac:dyDescent="0.25">
      <c r="B5" s="17" t="str">
        <f t="shared" ref="B5:B48" si="0">I5</f>
        <v>.</v>
      </c>
      <c r="C5" s="17"/>
      <c r="D5" s="17"/>
      <c r="E5" s="17"/>
      <c r="F5" s="17"/>
      <c r="G5" s="21" t="s">
        <v>6</v>
      </c>
      <c r="H5" s="18">
        <v>2</v>
      </c>
      <c r="I5" t="str">
        <f t="shared" ref="I5:I48" si="1">IF(J5&gt;3, "YES",".")</f>
        <v>.</v>
      </c>
      <c r="J5">
        <f t="shared" ref="J5:J48" si="2">F5+E5+D5+C5</f>
        <v>0</v>
      </c>
    </row>
    <row r="6" spans="1:10" x14ac:dyDescent="0.25">
      <c r="B6" s="17" t="str">
        <f t="shared" si="0"/>
        <v>.</v>
      </c>
      <c r="C6" s="17"/>
      <c r="D6" s="17"/>
      <c r="E6" s="17"/>
      <c r="F6" s="17"/>
      <c r="G6" s="21" t="s">
        <v>9</v>
      </c>
      <c r="H6" s="18">
        <v>3</v>
      </c>
      <c r="I6" t="str">
        <f t="shared" si="1"/>
        <v>.</v>
      </c>
      <c r="J6">
        <f t="shared" si="2"/>
        <v>0</v>
      </c>
    </row>
    <row r="7" spans="1:10" x14ac:dyDescent="0.25">
      <c r="B7" s="17" t="str">
        <f t="shared" si="0"/>
        <v>.</v>
      </c>
      <c r="C7" s="17"/>
      <c r="D7" s="17"/>
      <c r="E7" s="17"/>
      <c r="F7" s="17"/>
      <c r="G7" s="21" t="s">
        <v>10</v>
      </c>
      <c r="H7" s="18">
        <v>4</v>
      </c>
      <c r="I7" t="str">
        <f t="shared" si="1"/>
        <v>.</v>
      </c>
      <c r="J7">
        <f t="shared" si="2"/>
        <v>0</v>
      </c>
    </row>
    <row r="8" spans="1:10" x14ac:dyDescent="0.25">
      <c r="B8" s="17" t="str">
        <f t="shared" si="0"/>
        <v>.</v>
      </c>
      <c r="C8" s="17"/>
      <c r="D8" s="17"/>
      <c r="E8" s="17"/>
      <c r="F8" s="17"/>
      <c r="G8" s="21" t="s">
        <v>11</v>
      </c>
      <c r="H8" s="18">
        <v>5</v>
      </c>
      <c r="I8" t="str">
        <f t="shared" si="1"/>
        <v>.</v>
      </c>
      <c r="J8">
        <f t="shared" si="2"/>
        <v>0</v>
      </c>
    </row>
    <row r="9" spans="1:10" x14ac:dyDescent="0.25">
      <c r="B9" s="17" t="str">
        <f t="shared" si="0"/>
        <v>.</v>
      </c>
      <c r="C9" s="17"/>
      <c r="D9" s="17"/>
      <c r="E9" s="17"/>
      <c r="F9" s="17"/>
      <c r="G9" s="21" t="s">
        <v>12</v>
      </c>
      <c r="H9" s="18">
        <v>6</v>
      </c>
      <c r="I9" t="str">
        <f t="shared" si="1"/>
        <v>.</v>
      </c>
      <c r="J9">
        <f t="shared" si="2"/>
        <v>0</v>
      </c>
    </row>
    <row r="10" spans="1:10" x14ac:dyDescent="0.25">
      <c r="B10" s="17" t="str">
        <f t="shared" si="0"/>
        <v>.</v>
      </c>
      <c r="C10" s="17"/>
      <c r="D10" s="17"/>
      <c r="E10" s="17"/>
      <c r="F10" s="17"/>
      <c r="G10" s="21" t="s">
        <v>13</v>
      </c>
      <c r="H10" s="18">
        <v>7</v>
      </c>
      <c r="I10" t="str">
        <f t="shared" si="1"/>
        <v>.</v>
      </c>
      <c r="J10">
        <f t="shared" si="2"/>
        <v>0</v>
      </c>
    </row>
    <row r="11" spans="1:10" x14ac:dyDescent="0.25">
      <c r="B11" s="17" t="str">
        <f t="shared" si="0"/>
        <v>.</v>
      </c>
      <c r="C11" s="17"/>
      <c r="D11" s="17"/>
      <c r="E11" s="17"/>
      <c r="F11" s="17"/>
      <c r="G11" s="21" t="s">
        <v>14</v>
      </c>
      <c r="H11" s="18">
        <v>8</v>
      </c>
      <c r="I11" t="str">
        <f t="shared" si="1"/>
        <v>.</v>
      </c>
      <c r="J11">
        <f t="shared" si="2"/>
        <v>0</v>
      </c>
    </row>
    <row r="12" spans="1:10" x14ac:dyDescent="0.25">
      <c r="B12" s="17" t="str">
        <f t="shared" si="0"/>
        <v>.</v>
      </c>
      <c r="C12" s="17"/>
      <c r="D12" s="17"/>
      <c r="E12" s="17"/>
      <c r="F12" s="17"/>
      <c r="G12" s="21" t="s">
        <v>15</v>
      </c>
      <c r="H12" s="18">
        <v>9</v>
      </c>
      <c r="I12" t="str">
        <f t="shared" si="1"/>
        <v>.</v>
      </c>
      <c r="J12">
        <f t="shared" si="2"/>
        <v>0</v>
      </c>
    </row>
    <row r="13" spans="1:10" x14ac:dyDescent="0.25">
      <c r="B13" s="17" t="str">
        <f t="shared" si="0"/>
        <v>.</v>
      </c>
      <c r="C13" s="17"/>
      <c r="D13" s="17"/>
      <c r="E13" s="17"/>
      <c r="F13" s="17"/>
      <c r="G13" s="21" t="s">
        <v>17</v>
      </c>
      <c r="H13" s="18">
        <v>10</v>
      </c>
      <c r="I13" t="str">
        <f t="shared" si="1"/>
        <v>.</v>
      </c>
      <c r="J13">
        <f t="shared" si="2"/>
        <v>0</v>
      </c>
    </row>
    <row r="14" spans="1:10" x14ac:dyDescent="0.25">
      <c r="B14" s="17" t="str">
        <f t="shared" si="0"/>
        <v>.</v>
      </c>
      <c r="C14" s="17"/>
      <c r="D14" s="17"/>
      <c r="E14" s="17"/>
      <c r="F14" s="17"/>
      <c r="G14" s="21" t="s">
        <v>16</v>
      </c>
      <c r="H14" s="18">
        <v>11</v>
      </c>
      <c r="I14" t="str">
        <f t="shared" si="1"/>
        <v>.</v>
      </c>
      <c r="J14">
        <f t="shared" si="2"/>
        <v>0</v>
      </c>
    </row>
    <row r="15" spans="1:10" x14ac:dyDescent="0.25">
      <c r="B15" s="17" t="str">
        <f t="shared" si="0"/>
        <v>.</v>
      </c>
      <c r="C15" s="17"/>
      <c r="D15" s="17"/>
      <c r="E15" s="17"/>
      <c r="F15" s="17"/>
      <c r="G15" s="21" t="s">
        <v>18</v>
      </c>
      <c r="H15" s="18">
        <v>12</v>
      </c>
      <c r="I15" t="str">
        <f t="shared" si="1"/>
        <v>.</v>
      </c>
      <c r="J15">
        <f t="shared" si="2"/>
        <v>0</v>
      </c>
    </row>
    <row r="16" spans="1:10" x14ac:dyDescent="0.25">
      <c r="B16" s="17" t="str">
        <f t="shared" si="0"/>
        <v>.</v>
      </c>
      <c r="C16" s="17"/>
      <c r="D16" s="17"/>
      <c r="E16" s="17"/>
      <c r="F16" s="17"/>
      <c r="G16" s="21" t="s">
        <v>19</v>
      </c>
      <c r="H16" s="18">
        <v>13</v>
      </c>
      <c r="I16" t="str">
        <f t="shared" si="1"/>
        <v>.</v>
      </c>
      <c r="J16">
        <f t="shared" si="2"/>
        <v>0</v>
      </c>
    </row>
    <row r="17" spans="2:10" x14ac:dyDescent="0.25">
      <c r="B17" s="17" t="str">
        <f t="shared" si="0"/>
        <v>.</v>
      </c>
      <c r="C17" s="17"/>
      <c r="D17" s="17"/>
      <c r="E17" s="17"/>
      <c r="F17" s="17"/>
      <c r="G17" s="21" t="s">
        <v>20</v>
      </c>
      <c r="H17" s="18">
        <v>14</v>
      </c>
      <c r="I17" t="str">
        <f t="shared" si="1"/>
        <v>.</v>
      </c>
      <c r="J17">
        <f t="shared" si="2"/>
        <v>0</v>
      </c>
    </row>
    <row r="18" spans="2:10" x14ac:dyDescent="0.25">
      <c r="B18" s="17" t="str">
        <f t="shared" si="0"/>
        <v>.</v>
      </c>
      <c r="C18" s="17"/>
      <c r="D18" s="17"/>
      <c r="E18" s="17"/>
      <c r="F18" s="17"/>
      <c r="G18" s="21" t="s">
        <v>30</v>
      </c>
      <c r="H18" s="18">
        <v>15</v>
      </c>
      <c r="I18" t="str">
        <f t="shared" si="1"/>
        <v>.</v>
      </c>
      <c r="J18">
        <f t="shared" si="2"/>
        <v>0</v>
      </c>
    </row>
    <row r="19" spans="2:10" x14ac:dyDescent="0.25">
      <c r="B19" s="17" t="str">
        <f t="shared" si="0"/>
        <v>.</v>
      </c>
      <c r="C19" s="17"/>
      <c r="D19" s="17"/>
      <c r="E19" s="17"/>
      <c r="F19" s="17"/>
      <c r="G19" s="21" t="s">
        <v>21</v>
      </c>
      <c r="H19" s="18">
        <v>16</v>
      </c>
      <c r="I19" t="str">
        <f t="shared" si="1"/>
        <v>.</v>
      </c>
      <c r="J19">
        <f t="shared" si="2"/>
        <v>0</v>
      </c>
    </row>
    <row r="20" spans="2:10" x14ac:dyDescent="0.25">
      <c r="B20" s="17" t="str">
        <f t="shared" si="0"/>
        <v>.</v>
      </c>
      <c r="C20" s="17"/>
      <c r="D20" s="17"/>
      <c r="E20" s="17"/>
      <c r="F20" s="17"/>
      <c r="G20" s="21" t="s">
        <v>22</v>
      </c>
      <c r="H20" s="18">
        <v>17</v>
      </c>
      <c r="I20" t="str">
        <f t="shared" si="1"/>
        <v>.</v>
      </c>
      <c r="J20">
        <f t="shared" si="2"/>
        <v>0</v>
      </c>
    </row>
    <row r="21" spans="2:10" x14ac:dyDescent="0.25">
      <c r="B21" s="17" t="str">
        <f t="shared" si="0"/>
        <v>.</v>
      </c>
      <c r="C21" s="17"/>
      <c r="D21" s="17"/>
      <c r="E21" s="17"/>
      <c r="F21" s="17"/>
      <c r="G21" s="21" t="s">
        <v>23</v>
      </c>
      <c r="H21" s="18">
        <v>18</v>
      </c>
      <c r="I21" t="str">
        <f t="shared" si="1"/>
        <v>.</v>
      </c>
      <c r="J21">
        <f t="shared" si="2"/>
        <v>0</v>
      </c>
    </row>
    <row r="22" spans="2:10" x14ac:dyDescent="0.25">
      <c r="B22" s="17" t="str">
        <f t="shared" si="0"/>
        <v>.</v>
      </c>
      <c r="C22" s="17"/>
      <c r="D22" s="17"/>
      <c r="E22" s="17"/>
      <c r="F22" s="17"/>
      <c r="G22" s="21" t="s">
        <v>24</v>
      </c>
      <c r="H22" s="18">
        <v>19</v>
      </c>
      <c r="I22" t="str">
        <f t="shared" si="1"/>
        <v>.</v>
      </c>
      <c r="J22">
        <f t="shared" si="2"/>
        <v>0</v>
      </c>
    </row>
    <row r="23" spans="2:10" x14ac:dyDescent="0.25">
      <c r="B23" s="17" t="str">
        <f t="shared" si="0"/>
        <v>.</v>
      </c>
      <c r="C23" s="17"/>
      <c r="D23" s="17"/>
      <c r="E23" s="17"/>
      <c r="F23" s="17"/>
      <c r="G23" s="21" t="s">
        <v>25</v>
      </c>
      <c r="H23" s="18">
        <v>20</v>
      </c>
      <c r="I23" t="str">
        <f t="shared" si="1"/>
        <v>.</v>
      </c>
      <c r="J23">
        <f t="shared" si="2"/>
        <v>0</v>
      </c>
    </row>
    <row r="24" spans="2:10" x14ac:dyDescent="0.25">
      <c r="B24" s="17" t="str">
        <f t="shared" si="0"/>
        <v>.</v>
      </c>
      <c r="C24" s="17"/>
      <c r="D24" s="17"/>
      <c r="E24" s="17"/>
      <c r="F24" s="17"/>
      <c r="G24" s="21" t="s">
        <v>26</v>
      </c>
      <c r="H24" s="18">
        <v>21</v>
      </c>
      <c r="I24" t="str">
        <f t="shared" si="1"/>
        <v>.</v>
      </c>
      <c r="J24">
        <f t="shared" si="2"/>
        <v>0</v>
      </c>
    </row>
    <row r="25" spans="2:10" x14ac:dyDescent="0.25">
      <c r="B25" s="17" t="str">
        <f t="shared" si="0"/>
        <v>.</v>
      </c>
      <c r="C25" s="17"/>
      <c r="D25" s="17"/>
      <c r="E25" s="17"/>
      <c r="F25" s="17"/>
      <c r="G25" s="21" t="s">
        <v>27</v>
      </c>
      <c r="H25" s="18">
        <v>22</v>
      </c>
      <c r="I25" t="str">
        <f t="shared" si="1"/>
        <v>.</v>
      </c>
      <c r="J25">
        <f t="shared" si="2"/>
        <v>0</v>
      </c>
    </row>
    <row r="26" spans="2:10" x14ac:dyDescent="0.25">
      <c r="B26" s="17" t="str">
        <f t="shared" si="0"/>
        <v>.</v>
      </c>
      <c r="C26" s="17"/>
      <c r="D26" s="17"/>
      <c r="E26" s="17"/>
      <c r="F26" s="17"/>
      <c r="G26" s="21" t="s">
        <v>28</v>
      </c>
      <c r="H26" s="18">
        <v>23</v>
      </c>
      <c r="I26" t="str">
        <f t="shared" si="1"/>
        <v>.</v>
      </c>
      <c r="J26">
        <f t="shared" si="2"/>
        <v>0</v>
      </c>
    </row>
    <row r="27" spans="2:10" x14ac:dyDescent="0.25">
      <c r="B27" s="17" t="str">
        <f t="shared" si="0"/>
        <v>.</v>
      </c>
      <c r="C27" s="17"/>
      <c r="D27" s="17"/>
      <c r="E27" s="17"/>
      <c r="F27" s="17"/>
      <c r="G27" s="21" t="s">
        <v>31</v>
      </c>
      <c r="H27" s="18">
        <v>24</v>
      </c>
      <c r="I27" t="str">
        <f t="shared" si="1"/>
        <v>.</v>
      </c>
      <c r="J27">
        <f t="shared" si="2"/>
        <v>0</v>
      </c>
    </row>
    <row r="28" spans="2:10" x14ac:dyDescent="0.25">
      <c r="B28" s="17" t="str">
        <f t="shared" si="0"/>
        <v>.</v>
      </c>
      <c r="C28" s="17"/>
      <c r="D28" s="17"/>
      <c r="E28" s="17"/>
      <c r="F28" s="17"/>
      <c r="G28" s="21" t="s">
        <v>32</v>
      </c>
      <c r="H28" s="18">
        <v>25</v>
      </c>
      <c r="I28" t="str">
        <f t="shared" si="1"/>
        <v>.</v>
      </c>
      <c r="J28">
        <f t="shared" si="2"/>
        <v>0</v>
      </c>
    </row>
    <row r="29" spans="2:10" x14ac:dyDescent="0.25">
      <c r="B29" s="17" t="str">
        <f t="shared" si="0"/>
        <v>.</v>
      </c>
      <c r="C29" s="17"/>
      <c r="D29" s="17"/>
      <c r="E29" s="17"/>
      <c r="F29" s="17"/>
      <c r="G29" s="21" t="s">
        <v>33</v>
      </c>
      <c r="H29" s="18">
        <v>26</v>
      </c>
      <c r="I29" t="str">
        <f t="shared" si="1"/>
        <v>.</v>
      </c>
      <c r="J29">
        <f t="shared" si="2"/>
        <v>0</v>
      </c>
    </row>
    <row r="30" spans="2:10" x14ac:dyDescent="0.25">
      <c r="B30" s="17" t="str">
        <f t="shared" si="0"/>
        <v>.</v>
      </c>
      <c r="C30" s="17"/>
      <c r="D30" s="17"/>
      <c r="E30" s="17"/>
      <c r="F30" s="17"/>
      <c r="G30" s="21" t="s">
        <v>36</v>
      </c>
      <c r="H30" s="18">
        <v>27</v>
      </c>
      <c r="I30" t="str">
        <f t="shared" si="1"/>
        <v>.</v>
      </c>
      <c r="J30">
        <f t="shared" si="2"/>
        <v>0</v>
      </c>
    </row>
    <row r="31" spans="2:10" x14ac:dyDescent="0.25">
      <c r="B31" s="17" t="str">
        <f t="shared" si="0"/>
        <v>.</v>
      </c>
      <c r="C31" s="17"/>
      <c r="D31" s="17"/>
      <c r="E31" s="17"/>
      <c r="F31" s="17"/>
      <c r="G31" s="21" t="s">
        <v>35</v>
      </c>
      <c r="H31" s="18">
        <v>28</v>
      </c>
      <c r="I31" t="str">
        <f t="shared" si="1"/>
        <v>.</v>
      </c>
      <c r="J31">
        <f t="shared" si="2"/>
        <v>0</v>
      </c>
    </row>
    <row r="32" spans="2:10" x14ac:dyDescent="0.25">
      <c r="B32" s="17" t="str">
        <f t="shared" si="0"/>
        <v>.</v>
      </c>
      <c r="C32" s="17"/>
      <c r="D32" s="17"/>
      <c r="E32" s="17"/>
      <c r="F32" s="17"/>
      <c r="G32" s="21" t="s">
        <v>34</v>
      </c>
      <c r="H32" s="18">
        <v>29</v>
      </c>
      <c r="I32" t="str">
        <f t="shared" si="1"/>
        <v>.</v>
      </c>
      <c r="J32">
        <f t="shared" si="2"/>
        <v>0</v>
      </c>
    </row>
    <row r="33" spans="2:10" x14ac:dyDescent="0.25">
      <c r="B33" s="17" t="str">
        <f t="shared" si="0"/>
        <v>.</v>
      </c>
      <c r="C33" s="17"/>
      <c r="D33" s="17"/>
      <c r="E33" s="17"/>
      <c r="F33" s="17"/>
      <c r="G33" s="21" t="s">
        <v>38</v>
      </c>
      <c r="H33" s="18">
        <v>30</v>
      </c>
      <c r="I33" t="str">
        <f t="shared" si="1"/>
        <v>.</v>
      </c>
      <c r="J33">
        <f t="shared" si="2"/>
        <v>0</v>
      </c>
    </row>
    <row r="34" spans="2:10" x14ac:dyDescent="0.25">
      <c r="B34" s="17" t="str">
        <f t="shared" si="0"/>
        <v>.</v>
      </c>
      <c r="C34" s="17"/>
      <c r="D34" s="17"/>
      <c r="E34" s="17"/>
      <c r="F34" s="17"/>
      <c r="G34" s="21" t="s">
        <v>39</v>
      </c>
      <c r="H34" s="18">
        <v>31</v>
      </c>
      <c r="I34" t="str">
        <f t="shared" si="1"/>
        <v>.</v>
      </c>
      <c r="J34">
        <f t="shared" si="2"/>
        <v>0</v>
      </c>
    </row>
    <row r="35" spans="2:10" x14ac:dyDescent="0.25">
      <c r="B35" s="17" t="str">
        <f t="shared" si="0"/>
        <v>.</v>
      </c>
      <c r="C35" s="17"/>
      <c r="D35" s="17"/>
      <c r="E35" s="17"/>
      <c r="F35" s="17"/>
      <c r="G35" s="21" t="s">
        <v>40</v>
      </c>
      <c r="H35" s="18">
        <v>32</v>
      </c>
      <c r="I35" t="str">
        <f t="shared" si="1"/>
        <v>.</v>
      </c>
      <c r="J35">
        <f t="shared" si="2"/>
        <v>0</v>
      </c>
    </row>
    <row r="36" spans="2:10" x14ac:dyDescent="0.25">
      <c r="B36" s="17" t="str">
        <f t="shared" si="0"/>
        <v>.</v>
      </c>
      <c r="C36" s="17"/>
      <c r="D36" s="17"/>
      <c r="E36" s="17"/>
      <c r="F36" s="17"/>
      <c r="G36" s="21" t="s">
        <v>63</v>
      </c>
      <c r="H36" s="18">
        <v>33</v>
      </c>
      <c r="I36" t="str">
        <f t="shared" si="1"/>
        <v>.</v>
      </c>
      <c r="J36">
        <f t="shared" si="2"/>
        <v>0</v>
      </c>
    </row>
    <row r="37" spans="2:10" x14ac:dyDescent="0.25">
      <c r="B37" s="17" t="str">
        <f t="shared" si="0"/>
        <v>.</v>
      </c>
      <c r="C37" s="17"/>
      <c r="D37" s="17"/>
      <c r="E37" s="17"/>
      <c r="F37" s="17"/>
      <c r="G37" s="21" t="s">
        <v>67</v>
      </c>
      <c r="H37" s="18">
        <v>34</v>
      </c>
      <c r="I37" t="str">
        <f t="shared" si="1"/>
        <v>.</v>
      </c>
      <c r="J37">
        <f t="shared" si="2"/>
        <v>0</v>
      </c>
    </row>
    <row r="38" spans="2:10" x14ac:dyDescent="0.25">
      <c r="B38" s="17" t="str">
        <f t="shared" si="0"/>
        <v>.</v>
      </c>
      <c r="C38" s="17"/>
      <c r="D38" s="17"/>
      <c r="E38" s="17"/>
      <c r="F38" s="17"/>
      <c r="G38" s="21" t="s">
        <v>68</v>
      </c>
      <c r="H38" s="18">
        <v>35</v>
      </c>
      <c r="I38" t="str">
        <f t="shared" si="1"/>
        <v>.</v>
      </c>
      <c r="J38">
        <f t="shared" si="2"/>
        <v>0</v>
      </c>
    </row>
    <row r="39" spans="2:10" x14ac:dyDescent="0.25">
      <c r="B39" s="17" t="str">
        <f t="shared" si="0"/>
        <v>.</v>
      </c>
      <c r="C39" s="17"/>
      <c r="D39" s="17"/>
      <c r="E39" s="17"/>
      <c r="F39" s="17"/>
      <c r="G39" s="21" t="s">
        <v>69</v>
      </c>
      <c r="H39" s="18">
        <v>36</v>
      </c>
      <c r="I39" t="str">
        <f t="shared" si="1"/>
        <v>.</v>
      </c>
      <c r="J39">
        <f t="shared" si="2"/>
        <v>0</v>
      </c>
    </row>
    <row r="40" spans="2:10" x14ac:dyDescent="0.25">
      <c r="B40" s="17" t="str">
        <f t="shared" si="0"/>
        <v>.</v>
      </c>
      <c r="C40" s="17"/>
      <c r="D40" s="17"/>
      <c r="E40" s="17"/>
      <c r="F40" s="17"/>
      <c r="G40" s="21" t="s">
        <v>70</v>
      </c>
      <c r="H40" s="18">
        <v>37</v>
      </c>
      <c r="I40" t="str">
        <f t="shared" si="1"/>
        <v>.</v>
      </c>
      <c r="J40">
        <f t="shared" si="2"/>
        <v>0</v>
      </c>
    </row>
    <row r="41" spans="2:10" x14ac:dyDescent="0.25">
      <c r="B41" s="17" t="str">
        <f t="shared" si="0"/>
        <v>.</v>
      </c>
      <c r="C41" s="17"/>
      <c r="D41" s="17"/>
      <c r="E41" s="17"/>
      <c r="F41" s="17"/>
      <c r="G41" s="21" t="s">
        <v>107</v>
      </c>
      <c r="H41" s="18">
        <v>38</v>
      </c>
      <c r="I41" t="str">
        <f t="shared" si="1"/>
        <v>.</v>
      </c>
      <c r="J41">
        <f t="shared" si="2"/>
        <v>0</v>
      </c>
    </row>
    <row r="42" spans="2:10" x14ac:dyDescent="0.25">
      <c r="B42" s="17" t="str">
        <f t="shared" si="0"/>
        <v>.</v>
      </c>
      <c r="C42" s="17"/>
      <c r="D42" s="17"/>
      <c r="E42" s="17"/>
      <c r="F42" s="17"/>
      <c r="G42" s="21" t="s">
        <v>108</v>
      </c>
      <c r="H42" s="18">
        <v>39</v>
      </c>
      <c r="I42" t="str">
        <f t="shared" si="1"/>
        <v>.</v>
      </c>
      <c r="J42">
        <f t="shared" si="2"/>
        <v>0</v>
      </c>
    </row>
    <row r="43" spans="2:10" x14ac:dyDescent="0.25">
      <c r="B43" s="17" t="str">
        <f t="shared" si="0"/>
        <v>.</v>
      </c>
      <c r="C43" s="17"/>
      <c r="D43" s="17"/>
      <c r="E43" s="17"/>
      <c r="F43" s="17"/>
      <c r="G43" s="21" t="s">
        <v>183</v>
      </c>
      <c r="H43" s="18">
        <v>40</v>
      </c>
      <c r="I43" t="str">
        <f t="shared" si="1"/>
        <v>.</v>
      </c>
      <c r="J43">
        <f t="shared" si="2"/>
        <v>0</v>
      </c>
    </row>
    <row r="44" spans="2:10" x14ac:dyDescent="0.25">
      <c r="B44" s="17" t="str">
        <f t="shared" si="0"/>
        <v>.</v>
      </c>
      <c r="C44" s="17"/>
      <c r="D44" s="17"/>
      <c r="E44" s="17"/>
      <c r="F44" s="17"/>
      <c r="G44" s="21" t="s">
        <v>109</v>
      </c>
      <c r="H44" s="18">
        <v>41</v>
      </c>
      <c r="I44" t="str">
        <f t="shared" si="1"/>
        <v>.</v>
      </c>
      <c r="J44">
        <f t="shared" si="2"/>
        <v>0</v>
      </c>
    </row>
    <row r="45" spans="2:10" x14ac:dyDescent="0.25">
      <c r="B45" s="17" t="str">
        <f t="shared" si="0"/>
        <v>.</v>
      </c>
      <c r="C45" s="17"/>
      <c r="D45" s="17"/>
      <c r="E45" s="17"/>
      <c r="F45" s="17"/>
      <c r="G45" s="21" t="s">
        <v>110</v>
      </c>
      <c r="H45" s="18">
        <v>42</v>
      </c>
      <c r="I45" t="str">
        <f t="shared" si="1"/>
        <v>.</v>
      </c>
      <c r="J45">
        <f t="shared" si="2"/>
        <v>0</v>
      </c>
    </row>
    <row r="46" spans="2:10" x14ac:dyDescent="0.25">
      <c r="B46" s="17" t="str">
        <f t="shared" si="0"/>
        <v>.</v>
      </c>
      <c r="C46" s="17"/>
      <c r="D46" s="17"/>
      <c r="E46" s="17"/>
      <c r="F46" s="17"/>
      <c r="G46" s="39" t="s">
        <v>128</v>
      </c>
      <c r="H46" s="18">
        <v>43</v>
      </c>
      <c r="I46" t="str">
        <f>IF(J46&gt;3, "YES",".")</f>
        <v>.</v>
      </c>
      <c r="J46">
        <f t="shared" si="2"/>
        <v>0</v>
      </c>
    </row>
    <row r="47" spans="2:10" x14ac:dyDescent="0.25">
      <c r="B47" s="17" t="str">
        <f t="shared" si="0"/>
        <v>.</v>
      </c>
      <c r="C47" s="17"/>
      <c r="D47" s="17"/>
      <c r="E47" s="17"/>
      <c r="F47" s="17"/>
      <c r="G47" s="39" t="s">
        <v>129</v>
      </c>
      <c r="H47" s="18">
        <v>44</v>
      </c>
      <c r="I47" t="str">
        <f t="shared" si="1"/>
        <v>.</v>
      </c>
      <c r="J47">
        <f t="shared" si="2"/>
        <v>0</v>
      </c>
    </row>
    <row r="48" spans="2:10" x14ac:dyDescent="0.25">
      <c r="B48" s="17" t="str">
        <f t="shared" si="0"/>
        <v>.</v>
      </c>
      <c r="C48" s="17"/>
      <c r="D48" s="17"/>
      <c r="E48" s="17"/>
      <c r="F48" s="17"/>
      <c r="G48" s="39" t="s">
        <v>125</v>
      </c>
      <c r="H48" s="18">
        <v>45</v>
      </c>
      <c r="I48" t="str">
        <f t="shared" si="1"/>
        <v>.</v>
      </c>
      <c r="J48">
        <f t="shared" si="2"/>
        <v>0</v>
      </c>
    </row>
    <row r="49" spans="2:8" x14ac:dyDescent="0.25">
      <c r="B49" s="17">
        <f t="shared" ref="B49:B72" si="3">I49</f>
        <v>0</v>
      </c>
      <c r="C49" s="17"/>
      <c r="D49" s="17"/>
      <c r="E49" s="17"/>
      <c r="F49" s="17"/>
      <c r="G49" s="39" t="s">
        <v>126</v>
      </c>
      <c r="H49" s="18">
        <v>46</v>
      </c>
    </row>
    <row r="50" spans="2:8" x14ac:dyDescent="0.25">
      <c r="B50" s="17">
        <f t="shared" si="3"/>
        <v>0</v>
      </c>
      <c r="C50" s="17"/>
      <c r="D50" s="17"/>
      <c r="E50" s="17"/>
      <c r="F50" s="17"/>
      <c r="G50" s="39" t="s">
        <v>127</v>
      </c>
      <c r="H50" s="18">
        <v>47</v>
      </c>
    </row>
    <row r="51" spans="2:8" x14ac:dyDescent="0.25">
      <c r="B51" s="17">
        <f t="shared" si="3"/>
        <v>0</v>
      </c>
      <c r="C51" s="17"/>
      <c r="D51" s="17"/>
      <c r="E51" s="17"/>
      <c r="F51" s="17"/>
      <c r="G51" s="39" t="s">
        <v>142</v>
      </c>
      <c r="H51" s="18">
        <v>48</v>
      </c>
    </row>
    <row r="52" spans="2:8" x14ac:dyDescent="0.25">
      <c r="B52" s="17">
        <f t="shared" si="3"/>
        <v>0</v>
      </c>
      <c r="C52" s="17"/>
      <c r="D52" s="17"/>
      <c r="E52" s="17"/>
      <c r="F52" s="17"/>
      <c r="G52" s="39" t="s">
        <v>130</v>
      </c>
      <c r="H52" s="18">
        <v>49</v>
      </c>
    </row>
    <row r="53" spans="2:8" x14ac:dyDescent="0.25">
      <c r="B53" s="17">
        <f t="shared" si="3"/>
        <v>0</v>
      </c>
      <c r="C53" s="17"/>
      <c r="D53" s="17"/>
      <c r="E53" s="17"/>
      <c r="F53" s="17"/>
      <c r="G53" s="39" t="s">
        <v>131</v>
      </c>
      <c r="H53" s="18">
        <v>50</v>
      </c>
    </row>
    <row r="54" spans="2:8" x14ac:dyDescent="0.25">
      <c r="B54" s="17">
        <f t="shared" si="3"/>
        <v>0</v>
      </c>
      <c r="C54" s="17"/>
      <c r="D54" s="17"/>
      <c r="E54" s="17"/>
      <c r="F54" s="17"/>
      <c r="G54" s="39" t="s">
        <v>146</v>
      </c>
      <c r="H54" s="18">
        <v>51</v>
      </c>
    </row>
    <row r="55" spans="2:8" x14ac:dyDescent="0.25">
      <c r="B55" s="17">
        <f t="shared" si="3"/>
        <v>0</v>
      </c>
      <c r="C55" s="17"/>
      <c r="D55" s="17"/>
      <c r="E55" s="17"/>
      <c r="F55" s="17"/>
      <c r="G55" s="39" t="s">
        <v>147</v>
      </c>
      <c r="H55" s="18">
        <v>52</v>
      </c>
    </row>
    <row r="56" spans="2:8" x14ac:dyDescent="0.25">
      <c r="B56" s="17">
        <f t="shared" si="3"/>
        <v>0</v>
      </c>
      <c r="C56" s="17"/>
      <c r="D56" s="17"/>
      <c r="E56" s="17"/>
      <c r="F56" s="17"/>
      <c r="G56" s="39" t="s">
        <v>148</v>
      </c>
      <c r="H56" s="18">
        <v>53</v>
      </c>
    </row>
    <row r="57" spans="2:8" x14ac:dyDescent="0.25">
      <c r="B57" s="17">
        <f t="shared" si="3"/>
        <v>0</v>
      </c>
      <c r="C57" s="17"/>
      <c r="D57" s="17"/>
      <c r="E57" s="17"/>
      <c r="F57" s="17"/>
      <c r="G57" s="39" t="s">
        <v>149</v>
      </c>
      <c r="H57" s="18">
        <v>54</v>
      </c>
    </row>
    <row r="58" spans="2:8" x14ac:dyDescent="0.25">
      <c r="B58" s="17">
        <f t="shared" si="3"/>
        <v>0</v>
      </c>
      <c r="C58" s="17"/>
      <c r="D58" s="17"/>
      <c r="E58" s="17"/>
      <c r="F58" s="17"/>
      <c r="G58" s="39" t="s">
        <v>158</v>
      </c>
      <c r="H58" s="18">
        <v>55</v>
      </c>
    </row>
    <row r="59" spans="2:8" x14ac:dyDescent="0.25">
      <c r="B59" s="17">
        <f t="shared" si="3"/>
        <v>0</v>
      </c>
      <c r="C59" s="17"/>
      <c r="D59" s="17"/>
      <c r="E59" s="17"/>
      <c r="F59" s="17"/>
      <c r="G59" s="39" t="s">
        <v>165</v>
      </c>
      <c r="H59" s="18">
        <v>56</v>
      </c>
    </row>
    <row r="60" spans="2:8" x14ac:dyDescent="0.25">
      <c r="B60" s="17">
        <f t="shared" si="3"/>
        <v>0</v>
      </c>
      <c r="C60" s="17"/>
      <c r="D60" s="17"/>
      <c r="E60" s="17"/>
      <c r="F60" s="17"/>
      <c r="G60" s="39" t="s">
        <v>164</v>
      </c>
      <c r="H60" s="18">
        <v>57</v>
      </c>
    </row>
    <row r="61" spans="2:8" x14ac:dyDescent="0.25">
      <c r="B61" s="17">
        <f t="shared" si="3"/>
        <v>0</v>
      </c>
      <c r="C61" s="17"/>
      <c r="D61" s="17"/>
      <c r="E61" s="17"/>
      <c r="F61" s="17"/>
      <c r="G61" s="39" t="s">
        <v>163</v>
      </c>
      <c r="H61" s="18">
        <v>58</v>
      </c>
    </row>
    <row r="62" spans="2:8" x14ac:dyDescent="0.25">
      <c r="B62" s="17">
        <f t="shared" si="3"/>
        <v>0</v>
      </c>
      <c r="C62" s="17"/>
      <c r="D62" s="17"/>
      <c r="E62" s="17"/>
      <c r="F62" s="17"/>
      <c r="G62" s="39" t="s">
        <v>162</v>
      </c>
      <c r="H62" s="18">
        <v>59</v>
      </c>
    </row>
    <row r="63" spans="2:8" x14ac:dyDescent="0.25">
      <c r="B63" s="17">
        <f t="shared" si="3"/>
        <v>0</v>
      </c>
      <c r="C63" s="17"/>
      <c r="D63" s="17"/>
      <c r="E63" s="17"/>
      <c r="F63" s="17"/>
      <c r="G63" s="39" t="s">
        <v>159</v>
      </c>
      <c r="H63" s="18">
        <v>60</v>
      </c>
    </row>
    <row r="64" spans="2:8" x14ac:dyDescent="0.25">
      <c r="B64" s="17">
        <f t="shared" si="3"/>
        <v>0</v>
      </c>
      <c r="C64" s="17"/>
      <c r="D64" s="17"/>
      <c r="E64" s="17"/>
      <c r="F64" s="17"/>
      <c r="G64" s="39" t="s">
        <v>160</v>
      </c>
      <c r="H64" s="18">
        <v>61</v>
      </c>
    </row>
    <row r="65" spans="2:8" x14ac:dyDescent="0.25">
      <c r="B65" s="17">
        <f t="shared" si="3"/>
        <v>0</v>
      </c>
      <c r="C65" s="17"/>
      <c r="D65" s="17"/>
      <c r="E65" s="17"/>
      <c r="F65" s="17"/>
      <c r="G65" s="39" t="s">
        <v>161</v>
      </c>
      <c r="H65" s="18">
        <v>62</v>
      </c>
    </row>
    <row r="66" spans="2:8" x14ac:dyDescent="0.25">
      <c r="B66" s="17">
        <f t="shared" si="3"/>
        <v>0</v>
      </c>
      <c r="C66" s="17"/>
      <c r="D66" s="17"/>
      <c r="E66" s="17"/>
      <c r="F66" s="17"/>
      <c r="G66" s="39" t="s">
        <v>166</v>
      </c>
      <c r="H66" s="18">
        <v>63</v>
      </c>
    </row>
    <row r="67" spans="2:8" x14ac:dyDescent="0.25">
      <c r="B67" s="17">
        <f t="shared" si="3"/>
        <v>0</v>
      </c>
      <c r="C67" s="17"/>
      <c r="D67" s="17"/>
      <c r="E67" s="17"/>
      <c r="F67" s="17"/>
      <c r="G67" s="39" t="s">
        <v>167</v>
      </c>
      <c r="H67" s="18">
        <v>64</v>
      </c>
    </row>
    <row r="68" spans="2:8" x14ac:dyDescent="0.25">
      <c r="B68" s="17">
        <f t="shared" si="3"/>
        <v>0</v>
      </c>
      <c r="C68" s="17"/>
      <c r="D68" s="17"/>
      <c r="E68" s="17"/>
      <c r="F68" s="17"/>
      <c r="G68" s="39" t="s">
        <v>168</v>
      </c>
      <c r="H68" s="18">
        <v>65</v>
      </c>
    </row>
    <row r="69" spans="2:8" x14ac:dyDescent="0.25">
      <c r="B69" s="17">
        <f t="shared" si="3"/>
        <v>0</v>
      </c>
      <c r="C69" s="17"/>
      <c r="D69" s="17"/>
      <c r="E69" s="17"/>
      <c r="F69" s="17"/>
      <c r="G69" s="39" t="s">
        <v>169</v>
      </c>
      <c r="H69" s="18">
        <v>66</v>
      </c>
    </row>
    <row r="70" spans="2:8" x14ac:dyDescent="0.25">
      <c r="B70" s="17">
        <f t="shared" si="3"/>
        <v>0</v>
      </c>
      <c r="C70" s="17"/>
      <c r="D70" s="17"/>
      <c r="E70" s="17"/>
      <c r="F70" s="17"/>
      <c r="G70" s="39" t="s">
        <v>170</v>
      </c>
      <c r="H70" s="18">
        <v>67</v>
      </c>
    </row>
    <row r="71" spans="2:8" x14ac:dyDescent="0.25">
      <c r="B71" s="17">
        <f t="shared" si="3"/>
        <v>0</v>
      </c>
      <c r="C71" s="17"/>
      <c r="D71" s="17"/>
      <c r="E71" s="17"/>
      <c r="F71" s="17"/>
      <c r="G71" s="39" t="s">
        <v>171</v>
      </c>
      <c r="H71" s="18">
        <v>68</v>
      </c>
    </row>
    <row r="72" spans="2:8" x14ac:dyDescent="0.25">
      <c r="B72" s="17">
        <f t="shared" si="3"/>
        <v>0</v>
      </c>
      <c r="C72" s="17"/>
      <c r="D72" s="17"/>
      <c r="E72" s="17"/>
      <c r="F72" s="17"/>
      <c r="G72" s="39" t="s">
        <v>180</v>
      </c>
      <c r="H72" s="18">
        <v>69</v>
      </c>
    </row>
    <row r="73" spans="2:8" x14ac:dyDescent="0.25">
      <c r="B73" s="17">
        <f t="shared" ref="B73:B98" si="4">I73</f>
        <v>0</v>
      </c>
      <c r="C73" s="17"/>
      <c r="D73" s="17"/>
      <c r="E73" s="17"/>
      <c r="F73" s="17"/>
      <c r="G73" s="39" t="s">
        <v>181</v>
      </c>
      <c r="H73" s="18">
        <v>70</v>
      </c>
    </row>
    <row r="74" spans="2:8" x14ac:dyDescent="0.25">
      <c r="B74" s="17">
        <f t="shared" si="4"/>
        <v>0</v>
      </c>
      <c r="C74" s="17"/>
      <c r="D74" s="17"/>
      <c r="E74" s="17"/>
      <c r="F74" s="17"/>
      <c r="G74" s="39" t="s">
        <v>182</v>
      </c>
      <c r="H74" s="18">
        <v>71</v>
      </c>
    </row>
    <row r="75" spans="2:8" x14ac:dyDescent="0.25">
      <c r="B75" s="17">
        <f t="shared" si="4"/>
        <v>0</v>
      </c>
      <c r="C75" s="17"/>
      <c r="D75" s="17"/>
      <c r="E75" s="17"/>
      <c r="F75" s="17"/>
      <c r="G75" s="39" t="s">
        <v>188</v>
      </c>
      <c r="H75" s="18">
        <v>72</v>
      </c>
    </row>
    <row r="76" spans="2:8" x14ac:dyDescent="0.25">
      <c r="B76" s="17">
        <f t="shared" si="4"/>
        <v>0</v>
      </c>
      <c r="C76" s="17"/>
      <c r="D76" s="17"/>
      <c r="E76" s="17"/>
      <c r="F76" s="17"/>
      <c r="G76" s="39" t="s">
        <v>189</v>
      </c>
      <c r="H76" s="18">
        <v>73</v>
      </c>
    </row>
    <row r="77" spans="2:8" x14ac:dyDescent="0.25">
      <c r="B77" s="17">
        <f t="shared" si="4"/>
        <v>0</v>
      </c>
      <c r="C77" s="17"/>
      <c r="D77" s="17"/>
      <c r="E77" s="17"/>
      <c r="F77" s="17"/>
      <c r="G77" s="39" t="s">
        <v>190</v>
      </c>
      <c r="H77" s="18">
        <v>74</v>
      </c>
    </row>
    <row r="78" spans="2:8" x14ac:dyDescent="0.25">
      <c r="B78" s="17">
        <f t="shared" si="4"/>
        <v>0</v>
      </c>
      <c r="C78" s="17"/>
      <c r="D78" s="17"/>
      <c r="E78" s="17"/>
      <c r="F78" s="17"/>
      <c r="G78" s="39" t="s">
        <v>187</v>
      </c>
      <c r="H78" s="18">
        <v>75</v>
      </c>
    </row>
    <row r="79" spans="2:8" x14ac:dyDescent="0.25">
      <c r="B79" s="17">
        <f t="shared" si="4"/>
        <v>0</v>
      </c>
      <c r="C79" s="17"/>
      <c r="D79" s="17"/>
      <c r="E79" s="17"/>
      <c r="F79" s="17"/>
      <c r="G79" s="39" t="s">
        <v>227</v>
      </c>
      <c r="H79" s="18">
        <v>76</v>
      </c>
    </row>
    <row r="80" spans="2:8" x14ac:dyDescent="0.25">
      <c r="B80" s="17">
        <f t="shared" si="4"/>
        <v>0</v>
      </c>
      <c r="C80" s="17"/>
      <c r="D80" s="17"/>
      <c r="E80" s="17"/>
      <c r="F80" s="17"/>
      <c r="G80" s="17"/>
      <c r="H80" s="18">
        <v>77</v>
      </c>
    </row>
    <row r="81" spans="2:8" x14ac:dyDescent="0.25">
      <c r="B81" s="17">
        <f t="shared" si="4"/>
        <v>0</v>
      </c>
      <c r="C81" s="17"/>
      <c r="D81" s="17"/>
      <c r="E81" s="17"/>
      <c r="F81" s="17"/>
      <c r="G81" s="17"/>
      <c r="H81" s="18">
        <v>78</v>
      </c>
    </row>
    <row r="82" spans="2:8" x14ac:dyDescent="0.25">
      <c r="B82" s="17">
        <f t="shared" si="4"/>
        <v>0</v>
      </c>
      <c r="C82" s="17"/>
      <c r="D82" s="17"/>
      <c r="E82" s="17"/>
      <c r="F82" s="17"/>
      <c r="G82" s="17"/>
      <c r="H82" s="18">
        <v>79</v>
      </c>
    </row>
    <row r="83" spans="2:8" x14ac:dyDescent="0.25">
      <c r="B83" s="17">
        <f t="shared" si="4"/>
        <v>0</v>
      </c>
      <c r="C83" s="17"/>
      <c r="D83" s="17"/>
      <c r="E83" s="17"/>
      <c r="F83" s="17"/>
      <c r="G83" s="17"/>
      <c r="H83" s="18">
        <v>80</v>
      </c>
    </row>
    <row r="84" spans="2:8" x14ac:dyDescent="0.25">
      <c r="B84" s="17">
        <f t="shared" si="4"/>
        <v>0</v>
      </c>
      <c r="C84" s="17"/>
      <c r="D84" s="17"/>
      <c r="E84" s="17"/>
      <c r="F84" s="17"/>
      <c r="G84" s="17"/>
      <c r="H84" s="18">
        <v>81</v>
      </c>
    </row>
    <row r="85" spans="2:8" x14ac:dyDescent="0.25">
      <c r="B85" s="17">
        <f t="shared" si="4"/>
        <v>0</v>
      </c>
      <c r="C85" s="17"/>
      <c r="D85" s="17"/>
      <c r="E85" s="17"/>
      <c r="F85" s="17"/>
      <c r="G85" s="17"/>
      <c r="H85" s="18">
        <v>82</v>
      </c>
    </row>
    <row r="86" spans="2:8" x14ac:dyDescent="0.25">
      <c r="B86" s="17">
        <f t="shared" si="4"/>
        <v>0</v>
      </c>
      <c r="C86" s="17"/>
      <c r="D86" s="17"/>
      <c r="E86" s="17"/>
      <c r="F86" s="17"/>
      <c r="G86" s="17"/>
      <c r="H86" s="18">
        <v>83</v>
      </c>
    </row>
    <row r="87" spans="2:8" x14ac:dyDescent="0.25">
      <c r="B87" s="17">
        <f t="shared" si="4"/>
        <v>0</v>
      </c>
      <c r="C87" s="17"/>
      <c r="D87" s="17"/>
      <c r="E87" s="17"/>
      <c r="F87" s="17"/>
      <c r="G87" s="17"/>
      <c r="H87" s="18">
        <v>84</v>
      </c>
    </row>
    <row r="88" spans="2:8" x14ac:dyDescent="0.25">
      <c r="B88" s="17">
        <f t="shared" si="4"/>
        <v>0</v>
      </c>
      <c r="C88" s="17"/>
      <c r="D88" s="17"/>
      <c r="E88" s="17"/>
      <c r="F88" s="17"/>
      <c r="G88" s="17"/>
      <c r="H88" s="18">
        <v>85</v>
      </c>
    </row>
    <row r="89" spans="2:8" x14ac:dyDescent="0.25">
      <c r="B89" s="17">
        <f t="shared" si="4"/>
        <v>0</v>
      </c>
      <c r="C89" s="17"/>
      <c r="D89" s="17"/>
      <c r="E89" s="17"/>
      <c r="F89" s="17"/>
      <c r="G89" s="17"/>
      <c r="H89" s="18">
        <v>86</v>
      </c>
    </row>
    <row r="90" spans="2:8" x14ac:dyDescent="0.25">
      <c r="B90" s="17">
        <f t="shared" si="4"/>
        <v>0</v>
      </c>
      <c r="C90" s="17"/>
      <c r="D90" s="17"/>
      <c r="E90" s="17"/>
      <c r="F90" s="17"/>
      <c r="G90" s="17"/>
      <c r="H90" s="18">
        <v>87</v>
      </c>
    </row>
    <row r="91" spans="2:8" x14ac:dyDescent="0.25">
      <c r="B91" s="17">
        <f t="shared" si="4"/>
        <v>0</v>
      </c>
      <c r="C91" s="17"/>
      <c r="D91" s="17"/>
      <c r="E91" s="17"/>
      <c r="F91" s="17"/>
      <c r="G91" s="17"/>
      <c r="H91" s="18">
        <v>88</v>
      </c>
    </row>
    <row r="92" spans="2:8" x14ac:dyDescent="0.25">
      <c r="B92" s="17">
        <f t="shared" si="4"/>
        <v>0</v>
      </c>
      <c r="C92" s="17"/>
      <c r="D92" s="17"/>
      <c r="E92" s="17"/>
      <c r="F92" s="17"/>
      <c r="G92" s="17"/>
      <c r="H92" s="18">
        <v>89</v>
      </c>
    </row>
    <row r="93" spans="2:8" x14ac:dyDescent="0.25">
      <c r="B93" s="17">
        <f t="shared" si="4"/>
        <v>0</v>
      </c>
      <c r="C93" s="17"/>
      <c r="D93" s="17"/>
      <c r="E93" s="17"/>
      <c r="F93" s="17"/>
      <c r="G93" s="17"/>
      <c r="H93" s="18">
        <v>90</v>
      </c>
    </row>
    <row r="94" spans="2:8" x14ac:dyDescent="0.25">
      <c r="B94" s="17">
        <f t="shared" si="4"/>
        <v>0</v>
      </c>
      <c r="C94" s="17"/>
      <c r="D94" s="17"/>
      <c r="E94" s="17"/>
      <c r="F94" s="17"/>
      <c r="G94" s="17"/>
      <c r="H94" s="18">
        <v>91</v>
      </c>
    </row>
    <row r="95" spans="2:8" x14ac:dyDescent="0.25">
      <c r="B95" s="17">
        <f t="shared" si="4"/>
        <v>0</v>
      </c>
      <c r="C95" s="17"/>
      <c r="D95" s="17"/>
      <c r="E95" s="17"/>
      <c r="F95" s="17"/>
      <c r="G95" s="17"/>
      <c r="H95" s="18">
        <v>92</v>
      </c>
    </row>
    <row r="96" spans="2:8" x14ac:dyDescent="0.25">
      <c r="B96" s="17">
        <f t="shared" si="4"/>
        <v>0</v>
      </c>
      <c r="C96" s="17"/>
      <c r="D96" s="17"/>
      <c r="E96" s="17"/>
      <c r="F96" s="17"/>
      <c r="G96" s="17"/>
      <c r="H96" s="18">
        <v>93</v>
      </c>
    </row>
    <row r="97" spans="2:8" x14ac:dyDescent="0.25">
      <c r="B97" s="17">
        <f t="shared" si="4"/>
        <v>0</v>
      </c>
      <c r="C97" s="17"/>
      <c r="D97" s="17"/>
      <c r="E97" s="17"/>
      <c r="F97" s="17"/>
      <c r="G97" s="17"/>
      <c r="H97" s="18">
        <v>94</v>
      </c>
    </row>
    <row r="98" spans="2:8" x14ac:dyDescent="0.25">
      <c r="B98" s="17">
        <f t="shared" si="4"/>
        <v>0</v>
      </c>
      <c r="C98" s="17"/>
      <c r="D98" s="17"/>
      <c r="E98" s="17"/>
      <c r="F98" s="17"/>
      <c r="G98" s="17"/>
      <c r="H98" s="18">
        <v>95</v>
      </c>
    </row>
  </sheetData>
  <mergeCells count="1">
    <mergeCell ref="A1:H1"/>
  </mergeCells>
  <pageMargins left="0.25" right="0.25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BCD3F-1D52-4E99-85CF-0F36B366C139}">
  <dimension ref="A1:D28"/>
  <sheetViews>
    <sheetView rightToLeft="1" workbookViewId="0">
      <selection activeCell="D1" sqref="A1:D1048576"/>
    </sheetView>
  </sheetViews>
  <sheetFormatPr baseColWidth="10" defaultRowHeight="15" x14ac:dyDescent="0.25"/>
  <cols>
    <col min="1" max="4" width="26" customWidth="1"/>
  </cols>
  <sheetData>
    <row r="1" spans="1:4" x14ac:dyDescent="0.25">
      <c r="A1" t="s">
        <v>427</v>
      </c>
      <c r="B1" t="s">
        <v>428</v>
      </c>
      <c r="C1" t="s">
        <v>429</v>
      </c>
      <c r="D1" t="s">
        <v>430</v>
      </c>
    </row>
    <row r="2" spans="1:4" x14ac:dyDescent="0.25">
      <c r="A2" s="130" t="s">
        <v>5</v>
      </c>
      <c r="B2" s="130" t="s">
        <v>32</v>
      </c>
      <c r="C2" s="129" t="s">
        <v>147</v>
      </c>
      <c r="D2" s="193" t="s">
        <v>169</v>
      </c>
    </row>
    <row r="3" spans="1:4" x14ac:dyDescent="0.25">
      <c r="A3" s="130" t="s">
        <v>6</v>
      </c>
      <c r="B3" s="129" t="s">
        <v>164</v>
      </c>
      <c r="C3" s="129" t="s">
        <v>316</v>
      </c>
      <c r="D3" s="193" t="s">
        <v>182</v>
      </c>
    </row>
    <row r="4" spans="1:4" x14ac:dyDescent="0.25">
      <c r="A4" s="130" t="s">
        <v>9</v>
      </c>
      <c r="B4" s="129" t="s">
        <v>160</v>
      </c>
      <c r="C4" s="129" t="s">
        <v>68</v>
      </c>
      <c r="D4" s="193" t="s">
        <v>254</v>
      </c>
    </row>
    <row r="5" spans="1:4" x14ac:dyDescent="0.25">
      <c r="A5" s="130" t="s">
        <v>10</v>
      </c>
      <c r="B5" s="129" t="s">
        <v>161</v>
      </c>
      <c r="C5" s="129" t="s">
        <v>323</v>
      </c>
      <c r="D5" s="193" t="s">
        <v>270</v>
      </c>
    </row>
    <row r="6" spans="1:4" x14ac:dyDescent="0.25">
      <c r="A6" s="130" t="s">
        <v>18</v>
      </c>
      <c r="B6" s="129" t="s">
        <v>187</v>
      </c>
      <c r="C6" s="129" t="s">
        <v>327</v>
      </c>
      <c r="D6" s="193" t="s">
        <v>287</v>
      </c>
    </row>
    <row r="7" spans="1:4" x14ac:dyDescent="0.25">
      <c r="A7" s="130" t="s">
        <v>19</v>
      </c>
      <c r="B7" s="129" t="s">
        <v>264</v>
      </c>
      <c r="C7" s="129" t="s">
        <v>330</v>
      </c>
      <c r="D7" s="193" t="s">
        <v>315</v>
      </c>
    </row>
    <row r="8" spans="1:4" x14ac:dyDescent="0.25">
      <c r="A8" s="130" t="s">
        <v>25</v>
      </c>
      <c r="B8" s="129" t="s">
        <v>266</v>
      </c>
      <c r="C8" s="129" t="s">
        <v>331</v>
      </c>
      <c r="D8" s="193" t="s">
        <v>325</v>
      </c>
    </row>
    <row r="9" spans="1:4" x14ac:dyDescent="0.25">
      <c r="A9" s="130" t="s">
        <v>26</v>
      </c>
      <c r="B9" s="129" t="s">
        <v>298</v>
      </c>
      <c r="C9" s="129" t="s">
        <v>336</v>
      </c>
      <c r="D9" s="193" t="s">
        <v>378</v>
      </c>
    </row>
    <row r="10" spans="1:4" x14ac:dyDescent="0.25">
      <c r="A10" s="130" t="s">
        <v>28</v>
      </c>
      <c r="B10" s="129" t="s">
        <v>315</v>
      </c>
      <c r="C10" s="129" t="s">
        <v>365</v>
      </c>
      <c r="D10" s="193" t="s">
        <v>380</v>
      </c>
    </row>
    <row r="11" spans="1:4" x14ac:dyDescent="0.25">
      <c r="A11" s="130" t="s">
        <v>31</v>
      </c>
      <c r="B11" s="129" t="s">
        <v>67</v>
      </c>
      <c r="C11" s="129" t="s">
        <v>381</v>
      </c>
      <c r="D11" s="193" t="s">
        <v>399</v>
      </c>
    </row>
    <row r="12" spans="1:4" x14ac:dyDescent="0.25">
      <c r="A12" s="130" t="s">
        <v>33</v>
      </c>
      <c r="B12" s="129" t="s">
        <v>326</v>
      </c>
      <c r="C12" s="129" t="s">
        <v>395</v>
      </c>
      <c r="D12" s="193" t="s">
        <v>401</v>
      </c>
    </row>
    <row r="13" spans="1:4" x14ac:dyDescent="0.25">
      <c r="A13" s="130" t="s">
        <v>36</v>
      </c>
      <c r="B13" s="129" t="s">
        <v>369</v>
      </c>
      <c r="C13" s="129" t="s">
        <v>396</v>
      </c>
      <c r="D13" s="193" t="s">
        <v>404</v>
      </c>
    </row>
    <row r="14" spans="1:4" x14ac:dyDescent="0.25">
      <c r="A14" s="130" t="s">
        <v>35</v>
      </c>
      <c r="B14" s="129" t="s">
        <v>366</v>
      </c>
      <c r="C14" s="129" t="s">
        <v>393</v>
      </c>
      <c r="D14" s="193" t="s">
        <v>398</v>
      </c>
    </row>
    <row r="15" spans="1:4" x14ac:dyDescent="0.25">
      <c r="A15" s="129" t="s">
        <v>109</v>
      </c>
      <c r="B15" s="129" t="s">
        <v>368</v>
      </c>
      <c r="C15" s="129" t="s">
        <v>394</v>
      </c>
      <c r="D15" s="193" t="s">
        <v>416</v>
      </c>
    </row>
    <row r="16" spans="1:4" x14ac:dyDescent="0.25">
      <c r="A16" s="129" t="s">
        <v>110</v>
      </c>
      <c r="B16" s="129" t="s">
        <v>374</v>
      </c>
      <c r="C16" s="129" t="s">
        <v>400</v>
      </c>
      <c r="D16" s="193" t="s">
        <v>417</v>
      </c>
    </row>
    <row r="17" spans="1:4" x14ac:dyDescent="0.25">
      <c r="A17" s="129" t="s">
        <v>168</v>
      </c>
      <c r="B17" s="129" t="s">
        <v>389</v>
      </c>
      <c r="C17" s="129" t="s">
        <v>402</v>
      </c>
      <c r="D17" s="193" t="s">
        <v>419</v>
      </c>
    </row>
    <row r="18" spans="1:4" x14ac:dyDescent="0.25">
      <c r="A18" s="129" t="s">
        <v>170</v>
      </c>
      <c r="B18" s="129" t="s">
        <v>390</v>
      </c>
      <c r="C18" s="129" t="s">
        <v>403</v>
      </c>
      <c r="D18" s="193" t="s">
        <v>289</v>
      </c>
    </row>
    <row r="19" spans="1:4" x14ac:dyDescent="0.25">
      <c r="A19" s="129" t="s">
        <v>252</v>
      </c>
      <c r="B19" s="129" t="s">
        <v>271</v>
      </c>
      <c r="C19" s="129" t="s">
        <v>409</v>
      </c>
      <c r="D19" s="193" t="s">
        <v>386</v>
      </c>
    </row>
    <row r="20" spans="1:4" x14ac:dyDescent="0.25">
      <c r="A20" s="129" t="s">
        <v>253</v>
      </c>
      <c r="C20" s="129" t="s">
        <v>410</v>
      </c>
    </row>
    <row r="21" spans="1:4" x14ac:dyDescent="0.25">
      <c r="A21" s="129" t="s">
        <v>265</v>
      </c>
      <c r="C21" s="129" t="s">
        <v>413</v>
      </c>
    </row>
    <row r="22" spans="1:4" x14ac:dyDescent="0.25">
      <c r="C22" s="129" t="s">
        <v>414</v>
      </c>
    </row>
    <row r="23" spans="1:4" x14ac:dyDescent="0.25">
      <c r="C23" s="129" t="s">
        <v>415</v>
      </c>
    </row>
    <row r="24" spans="1:4" x14ac:dyDescent="0.25">
      <c r="C24" s="129" t="s">
        <v>420</v>
      </c>
    </row>
    <row r="25" spans="1:4" x14ac:dyDescent="0.25">
      <c r="C25" s="129" t="s">
        <v>423</v>
      </c>
    </row>
    <row r="26" spans="1:4" x14ac:dyDescent="0.25">
      <c r="C26" s="129" t="s">
        <v>424</v>
      </c>
    </row>
    <row r="27" spans="1:4" x14ac:dyDescent="0.25">
      <c r="C27" s="129" t="s">
        <v>426</v>
      </c>
    </row>
    <row r="28" spans="1:4" x14ac:dyDescent="0.25">
      <c r="C28" s="129" t="s">
        <v>370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D3635-1306-4324-B356-BFF7672CC1CD}">
  <dimension ref="C4:F76"/>
  <sheetViews>
    <sheetView workbookViewId="0">
      <selection activeCell="D18" sqref="D18:D32"/>
    </sheetView>
  </sheetViews>
  <sheetFormatPr baseColWidth="10" defaultRowHeight="15" x14ac:dyDescent="0.25"/>
  <cols>
    <col min="4" max="5" width="39.7109375" customWidth="1"/>
  </cols>
  <sheetData>
    <row r="4" spans="3:6" x14ac:dyDescent="0.25">
      <c r="C4" s="253" t="s">
        <v>293</v>
      </c>
      <c r="D4" s="253"/>
      <c r="E4" s="253"/>
      <c r="F4" s="253"/>
    </row>
    <row r="5" spans="3:6" ht="23.25" customHeight="1" x14ac:dyDescent="0.25">
      <c r="C5" s="253"/>
      <c r="D5" s="253"/>
      <c r="E5" s="253"/>
      <c r="F5" s="253"/>
    </row>
    <row r="6" spans="3:6" ht="15.75" thickBot="1" x14ac:dyDescent="0.3"/>
    <row r="7" spans="3:6" ht="15.75" x14ac:dyDescent="0.25">
      <c r="C7" s="94" t="s">
        <v>74</v>
      </c>
      <c r="D7" s="95" t="s">
        <v>101</v>
      </c>
      <c r="E7" s="95" t="s">
        <v>73</v>
      </c>
      <c r="F7" s="96" t="s">
        <v>294</v>
      </c>
    </row>
    <row r="8" spans="3:6" x14ac:dyDescent="0.25">
      <c r="C8" s="255">
        <v>1000</v>
      </c>
      <c r="D8" s="254">
        <v>45918</v>
      </c>
      <c r="E8" s="97" t="s">
        <v>162</v>
      </c>
      <c r="F8" s="97">
        <v>1</v>
      </c>
    </row>
    <row r="9" spans="3:6" x14ac:dyDescent="0.25">
      <c r="C9" s="255"/>
      <c r="D9" s="254"/>
      <c r="E9" s="97" t="s">
        <v>163</v>
      </c>
      <c r="F9" s="97">
        <v>2</v>
      </c>
    </row>
    <row r="10" spans="3:6" x14ac:dyDescent="0.25">
      <c r="C10" s="255"/>
      <c r="D10" s="254"/>
      <c r="E10" s="97" t="s">
        <v>126</v>
      </c>
      <c r="F10" s="97">
        <v>3</v>
      </c>
    </row>
    <row r="11" spans="3:6" x14ac:dyDescent="0.25">
      <c r="C11" s="255"/>
      <c r="D11" s="254"/>
      <c r="E11" s="97" t="s">
        <v>127</v>
      </c>
      <c r="F11" s="97">
        <v>4</v>
      </c>
    </row>
    <row r="12" spans="3:6" x14ac:dyDescent="0.25">
      <c r="C12" s="255"/>
      <c r="D12" s="254"/>
      <c r="E12" s="97" t="s">
        <v>271</v>
      </c>
      <c r="F12" s="97">
        <v>5</v>
      </c>
    </row>
    <row r="13" spans="3:6" x14ac:dyDescent="0.25">
      <c r="C13" s="255"/>
      <c r="D13" s="254"/>
      <c r="E13" s="97" t="s">
        <v>295</v>
      </c>
      <c r="F13" s="97">
        <v>6</v>
      </c>
    </row>
    <row r="14" spans="3:6" x14ac:dyDescent="0.25">
      <c r="C14" s="255"/>
      <c r="D14" s="254"/>
      <c r="E14" s="97" t="s">
        <v>264</v>
      </c>
      <c r="F14" s="97">
        <v>7</v>
      </c>
    </row>
    <row r="15" spans="3:6" x14ac:dyDescent="0.25">
      <c r="C15" s="255"/>
      <c r="D15" s="254"/>
      <c r="E15" s="97" t="s">
        <v>296</v>
      </c>
      <c r="F15" s="97">
        <v>8</v>
      </c>
    </row>
    <row r="16" spans="3:6" x14ac:dyDescent="0.25">
      <c r="C16" s="255"/>
      <c r="D16" s="254"/>
      <c r="E16" s="97" t="s">
        <v>297</v>
      </c>
      <c r="F16" s="97">
        <v>9</v>
      </c>
    </row>
    <row r="17" spans="3:6" x14ac:dyDescent="0.25">
      <c r="C17" s="255"/>
      <c r="D17" s="254"/>
      <c r="E17" s="97" t="s">
        <v>254</v>
      </c>
      <c r="F17" s="97">
        <v>10</v>
      </c>
    </row>
    <row r="18" spans="3:6" x14ac:dyDescent="0.25">
      <c r="C18" s="250">
        <v>1500</v>
      </c>
      <c r="D18" s="247" t="s">
        <v>291</v>
      </c>
      <c r="E18" s="110" t="s">
        <v>164</v>
      </c>
      <c r="F18" s="97">
        <v>11</v>
      </c>
    </row>
    <row r="19" spans="3:6" x14ac:dyDescent="0.25">
      <c r="C19" s="251"/>
      <c r="D19" s="248"/>
      <c r="E19" s="110" t="s">
        <v>159</v>
      </c>
      <c r="F19" s="97">
        <v>12</v>
      </c>
    </row>
    <row r="20" spans="3:6" x14ac:dyDescent="0.25">
      <c r="C20" s="251"/>
      <c r="D20" s="248"/>
      <c r="E20" s="110" t="s">
        <v>160</v>
      </c>
      <c r="F20" s="97">
        <v>13</v>
      </c>
    </row>
    <row r="21" spans="3:6" x14ac:dyDescent="0.25">
      <c r="C21" s="251"/>
      <c r="D21" s="248"/>
      <c r="E21" s="110" t="s">
        <v>187</v>
      </c>
      <c r="F21" s="97">
        <v>14</v>
      </c>
    </row>
    <row r="22" spans="3:6" x14ac:dyDescent="0.25">
      <c r="C22" s="251"/>
      <c r="D22" s="248"/>
      <c r="E22" s="110" t="s">
        <v>290</v>
      </c>
      <c r="F22" s="97">
        <v>15</v>
      </c>
    </row>
    <row r="23" spans="3:6" x14ac:dyDescent="0.25">
      <c r="C23" s="251"/>
      <c r="D23" s="248"/>
      <c r="E23" s="110" t="s">
        <v>287</v>
      </c>
      <c r="F23" s="97">
        <v>16</v>
      </c>
    </row>
    <row r="24" spans="3:6" x14ac:dyDescent="0.25">
      <c r="C24" s="251"/>
      <c r="D24" s="248"/>
      <c r="E24" s="110" t="s">
        <v>298</v>
      </c>
      <c r="F24" s="97">
        <v>17</v>
      </c>
    </row>
    <row r="25" spans="3:6" x14ac:dyDescent="0.25">
      <c r="C25" s="251"/>
      <c r="D25" s="248"/>
      <c r="E25" s="110" t="s">
        <v>315</v>
      </c>
      <c r="F25" s="97">
        <v>18</v>
      </c>
    </row>
    <row r="26" spans="3:6" x14ac:dyDescent="0.25">
      <c r="C26" s="251"/>
      <c r="D26" s="248"/>
      <c r="E26" s="110" t="s">
        <v>316</v>
      </c>
      <c r="F26" s="97">
        <v>19</v>
      </c>
    </row>
    <row r="27" spans="3:6" x14ac:dyDescent="0.25">
      <c r="C27" s="251"/>
      <c r="D27" s="248"/>
      <c r="E27" s="110" t="s">
        <v>323</v>
      </c>
      <c r="F27" s="97">
        <v>20</v>
      </c>
    </row>
    <row r="28" spans="3:6" x14ac:dyDescent="0.25">
      <c r="C28" s="251"/>
      <c r="D28" s="248"/>
      <c r="E28" s="110" t="s">
        <v>324</v>
      </c>
      <c r="F28" s="97">
        <v>21</v>
      </c>
    </row>
    <row r="29" spans="3:6" x14ac:dyDescent="0.25">
      <c r="C29" s="251"/>
      <c r="D29" s="248"/>
      <c r="E29" s="110" t="s">
        <v>325</v>
      </c>
      <c r="F29" s="97">
        <v>22</v>
      </c>
    </row>
    <row r="30" spans="3:6" x14ac:dyDescent="0.25">
      <c r="C30" s="251"/>
      <c r="D30" s="248"/>
      <c r="E30" s="110" t="s">
        <v>326</v>
      </c>
      <c r="F30" s="97">
        <v>23</v>
      </c>
    </row>
    <row r="31" spans="3:6" x14ac:dyDescent="0.25">
      <c r="C31" s="251"/>
      <c r="D31" s="248"/>
      <c r="E31" s="110" t="s">
        <v>327</v>
      </c>
      <c r="F31" s="97">
        <v>24</v>
      </c>
    </row>
    <row r="32" spans="3:6" x14ac:dyDescent="0.25">
      <c r="C32" s="252"/>
      <c r="D32" s="249"/>
      <c r="E32" s="110" t="s">
        <v>330</v>
      </c>
      <c r="F32" s="97">
        <v>25</v>
      </c>
    </row>
    <row r="33" spans="3:6" x14ac:dyDescent="0.25">
      <c r="C33" s="250">
        <v>1100</v>
      </c>
      <c r="D33" s="247">
        <v>46001</v>
      </c>
      <c r="E33" s="97" t="s">
        <v>371</v>
      </c>
      <c r="F33" s="97">
        <v>26</v>
      </c>
    </row>
    <row r="34" spans="3:6" x14ac:dyDescent="0.25">
      <c r="C34" s="251"/>
      <c r="D34" s="248"/>
      <c r="E34" s="97" t="s">
        <v>372</v>
      </c>
      <c r="F34" s="97">
        <v>27</v>
      </c>
    </row>
    <row r="35" spans="3:6" x14ac:dyDescent="0.25">
      <c r="C35" s="251"/>
      <c r="D35" s="248"/>
      <c r="E35" s="97" t="s">
        <v>373</v>
      </c>
      <c r="F35" s="97">
        <v>28</v>
      </c>
    </row>
    <row r="36" spans="3:6" x14ac:dyDescent="0.25">
      <c r="C36" s="251"/>
      <c r="D36" s="248"/>
      <c r="E36" s="97" t="s">
        <v>367</v>
      </c>
      <c r="F36" s="97">
        <v>29</v>
      </c>
    </row>
    <row r="37" spans="3:6" x14ac:dyDescent="0.25">
      <c r="C37" s="251"/>
      <c r="D37" s="248"/>
      <c r="E37" s="97" t="s">
        <v>368</v>
      </c>
      <c r="F37" s="97">
        <v>30</v>
      </c>
    </row>
    <row r="38" spans="3:6" x14ac:dyDescent="0.25">
      <c r="C38" s="251"/>
      <c r="D38" s="248"/>
      <c r="E38" s="97" t="s">
        <v>182</v>
      </c>
      <c r="F38" s="97">
        <v>31</v>
      </c>
    </row>
    <row r="39" spans="3:6" x14ac:dyDescent="0.25">
      <c r="C39" s="251"/>
      <c r="D39" s="248"/>
      <c r="E39" s="97" t="s">
        <v>355</v>
      </c>
      <c r="F39" s="97">
        <v>32</v>
      </c>
    </row>
    <row r="40" spans="3:6" x14ac:dyDescent="0.25">
      <c r="C40" s="251"/>
      <c r="D40" s="248"/>
      <c r="E40" s="97" t="s">
        <v>331</v>
      </c>
      <c r="F40" s="97">
        <v>33</v>
      </c>
    </row>
    <row r="41" spans="3:6" x14ac:dyDescent="0.25">
      <c r="C41" s="251"/>
      <c r="D41" s="248"/>
      <c r="E41" s="97" t="s">
        <v>158</v>
      </c>
      <c r="F41" s="97">
        <v>34</v>
      </c>
    </row>
    <row r="42" spans="3:6" x14ac:dyDescent="0.25">
      <c r="C42" s="251"/>
      <c r="D42" s="248"/>
      <c r="E42" s="97" t="s">
        <v>362</v>
      </c>
      <c r="F42" s="97">
        <v>35</v>
      </c>
    </row>
    <row r="43" spans="3:6" x14ac:dyDescent="0.25">
      <c r="C43" s="252"/>
      <c r="D43" s="249"/>
      <c r="E43" s="97" t="s">
        <v>319</v>
      </c>
      <c r="F43" s="97">
        <v>36</v>
      </c>
    </row>
    <row r="44" spans="3:6" x14ac:dyDescent="0.25">
      <c r="C44" s="244"/>
      <c r="D44" s="244"/>
      <c r="E44" s="97" t="s">
        <v>400</v>
      </c>
      <c r="F44" s="97">
        <v>37</v>
      </c>
    </row>
    <row r="45" spans="3:6" x14ac:dyDescent="0.25">
      <c r="C45" s="245"/>
      <c r="D45" s="245"/>
      <c r="E45" s="97" t="s">
        <v>401</v>
      </c>
      <c r="F45" s="97">
        <v>38</v>
      </c>
    </row>
    <row r="46" spans="3:6" x14ac:dyDescent="0.25">
      <c r="C46" s="245"/>
      <c r="D46" s="245"/>
      <c r="E46" s="97" t="s">
        <v>404</v>
      </c>
      <c r="F46" s="97">
        <v>39</v>
      </c>
    </row>
    <row r="47" spans="3:6" x14ac:dyDescent="0.25">
      <c r="C47" s="245"/>
      <c r="D47" s="245"/>
      <c r="E47" s="97" t="s">
        <v>402</v>
      </c>
      <c r="F47" s="97">
        <v>40</v>
      </c>
    </row>
    <row r="48" spans="3:6" x14ac:dyDescent="0.25">
      <c r="C48" s="245"/>
      <c r="D48" s="245"/>
      <c r="E48" s="97" t="s">
        <v>403</v>
      </c>
      <c r="F48" s="97">
        <v>41</v>
      </c>
    </row>
    <row r="49" spans="3:6" x14ac:dyDescent="0.25">
      <c r="C49" s="245"/>
      <c r="D49" s="245"/>
      <c r="E49" s="97" t="s">
        <v>407</v>
      </c>
      <c r="F49" s="97">
        <v>42</v>
      </c>
    </row>
    <row r="50" spans="3:6" x14ac:dyDescent="0.25">
      <c r="C50" s="245"/>
      <c r="D50" s="245"/>
      <c r="E50" s="97" t="s">
        <v>390</v>
      </c>
      <c r="F50" s="97">
        <v>43</v>
      </c>
    </row>
    <row r="51" spans="3:6" x14ac:dyDescent="0.25">
      <c r="C51" s="245"/>
      <c r="D51" s="245"/>
      <c r="E51" s="97" t="s">
        <v>389</v>
      </c>
      <c r="F51" s="97">
        <v>44</v>
      </c>
    </row>
    <row r="52" spans="3:6" x14ac:dyDescent="0.25">
      <c r="C52" s="245"/>
      <c r="D52" s="245"/>
      <c r="E52" s="97" t="s">
        <v>392</v>
      </c>
      <c r="F52" s="97">
        <v>45</v>
      </c>
    </row>
    <row r="53" spans="3:6" x14ac:dyDescent="0.25">
      <c r="C53" s="245"/>
      <c r="D53" s="245"/>
      <c r="E53" s="97" t="s">
        <v>399</v>
      </c>
      <c r="F53" s="97">
        <v>46</v>
      </c>
    </row>
    <row r="54" spans="3:6" x14ac:dyDescent="0.25">
      <c r="C54" s="246"/>
      <c r="D54" s="246"/>
      <c r="E54" s="97" t="s">
        <v>394</v>
      </c>
      <c r="F54" s="97">
        <v>47</v>
      </c>
    </row>
    <row r="55" spans="3:6" x14ac:dyDescent="0.25">
      <c r="C55" s="151"/>
      <c r="D55" s="151"/>
      <c r="E55" s="97"/>
      <c r="F55" s="97">
        <v>48</v>
      </c>
    </row>
    <row r="56" spans="3:6" x14ac:dyDescent="0.25">
      <c r="C56" s="151"/>
      <c r="D56" s="151"/>
      <c r="E56" s="97"/>
      <c r="F56" s="97">
        <v>49</v>
      </c>
    </row>
    <row r="57" spans="3:6" x14ac:dyDescent="0.25">
      <c r="C57" s="151"/>
      <c r="D57" s="151"/>
      <c r="E57" s="97"/>
      <c r="F57" s="97">
        <v>50</v>
      </c>
    </row>
    <row r="58" spans="3:6" x14ac:dyDescent="0.25">
      <c r="C58" s="151"/>
      <c r="D58" s="151"/>
      <c r="E58" s="97"/>
      <c r="F58" s="97">
        <v>51</v>
      </c>
    </row>
    <row r="59" spans="3:6" x14ac:dyDescent="0.25">
      <c r="C59" s="151"/>
      <c r="D59" s="151"/>
      <c r="E59" s="97"/>
      <c r="F59" s="97">
        <v>52</v>
      </c>
    </row>
    <row r="60" spans="3:6" x14ac:dyDescent="0.25">
      <c r="C60" s="151"/>
      <c r="D60" s="151"/>
      <c r="E60" s="97"/>
      <c r="F60" s="97">
        <v>53</v>
      </c>
    </row>
    <row r="61" spans="3:6" x14ac:dyDescent="0.25">
      <c r="C61" s="151"/>
      <c r="D61" s="151"/>
      <c r="E61" s="97"/>
      <c r="F61" s="97">
        <v>54</v>
      </c>
    </row>
    <row r="62" spans="3:6" x14ac:dyDescent="0.25">
      <c r="C62" s="151"/>
      <c r="D62" s="151"/>
      <c r="E62" s="97"/>
      <c r="F62" s="97">
        <v>55</v>
      </c>
    </row>
    <row r="63" spans="3:6" x14ac:dyDescent="0.25">
      <c r="C63" s="151"/>
      <c r="D63" s="151"/>
      <c r="E63" s="97"/>
      <c r="F63" s="97">
        <v>56</v>
      </c>
    </row>
    <row r="64" spans="3:6" x14ac:dyDescent="0.25">
      <c r="C64" s="151"/>
      <c r="D64" s="151"/>
      <c r="E64" s="97"/>
      <c r="F64" s="97">
        <v>57</v>
      </c>
    </row>
    <row r="65" spans="3:6" x14ac:dyDescent="0.25">
      <c r="C65" s="151"/>
      <c r="D65" s="151"/>
      <c r="E65" s="97"/>
      <c r="F65" s="97">
        <v>58</v>
      </c>
    </row>
    <row r="66" spans="3:6" x14ac:dyDescent="0.25">
      <c r="C66" s="151"/>
      <c r="D66" s="151"/>
      <c r="E66" s="97"/>
      <c r="F66" s="97">
        <v>59</v>
      </c>
    </row>
    <row r="67" spans="3:6" x14ac:dyDescent="0.25">
      <c r="C67" s="151"/>
      <c r="D67" s="151"/>
      <c r="E67" s="97"/>
      <c r="F67" s="97">
        <v>60</v>
      </c>
    </row>
    <row r="68" spans="3:6" x14ac:dyDescent="0.25">
      <c r="C68" s="151"/>
      <c r="D68" s="151"/>
      <c r="E68" s="97"/>
      <c r="F68" s="97">
        <v>61</v>
      </c>
    </row>
    <row r="69" spans="3:6" x14ac:dyDescent="0.25">
      <c r="C69" s="151"/>
      <c r="D69" s="151"/>
      <c r="E69" s="97"/>
      <c r="F69" s="97">
        <v>62</v>
      </c>
    </row>
    <row r="70" spans="3:6" x14ac:dyDescent="0.25">
      <c r="C70" s="151"/>
      <c r="D70" s="151"/>
      <c r="E70" s="97"/>
      <c r="F70" s="97">
        <v>63</v>
      </c>
    </row>
    <row r="71" spans="3:6" x14ac:dyDescent="0.25">
      <c r="C71" s="151"/>
      <c r="D71" s="151"/>
      <c r="E71" s="97"/>
      <c r="F71" s="97">
        <v>64</v>
      </c>
    </row>
    <row r="72" spans="3:6" x14ac:dyDescent="0.25">
      <c r="C72" s="151"/>
      <c r="D72" s="151"/>
      <c r="E72" s="97"/>
      <c r="F72" s="97">
        <v>65</v>
      </c>
    </row>
    <row r="73" spans="3:6" x14ac:dyDescent="0.25">
      <c r="C73" s="151"/>
      <c r="D73" s="151"/>
      <c r="E73" s="97"/>
      <c r="F73" s="97">
        <v>66</v>
      </c>
    </row>
    <row r="74" spans="3:6" x14ac:dyDescent="0.25">
      <c r="C74" s="151"/>
      <c r="D74" s="151"/>
      <c r="E74" s="97"/>
      <c r="F74" s="97">
        <v>67</v>
      </c>
    </row>
    <row r="75" spans="3:6" x14ac:dyDescent="0.25">
      <c r="C75" s="151"/>
      <c r="D75" s="151"/>
      <c r="E75" s="97"/>
      <c r="F75" s="97">
        <v>68</v>
      </c>
    </row>
    <row r="76" spans="3:6" x14ac:dyDescent="0.25">
      <c r="C76" s="151"/>
      <c r="D76" s="151"/>
      <c r="E76" s="97"/>
      <c r="F76" s="97">
        <v>69</v>
      </c>
    </row>
  </sheetData>
  <mergeCells count="9">
    <mergeCell ref="D44:D54"/>
    <mergeCell ref="C44:C54"/>
    <mergeCell ref="D33:D43"/>
    <mergeCell ref="C33:C43"/>
    <mergeCell ref="C4:F5"/>
    <mergeCell ref="D8:D17"/>
    <mergeCell ref="C8:C17"/>
    <mergeCell ref="D18:D32"/>
    <mergeCell ref="C18:C3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6D7C-4561-48F3-8AA6-3E100073AC77}">
  <dimension ref="A1:T95"/>
  <sheetViews>
    <sheetView zoomScale="115" zoomScaleNormal="115" workbookViewId="0">
      <selection activeCell="Q95" sqref="Q95"/>
    </sheetView>
  </sheetViews>
  <sheetFormatPr baseColWidth="10" defaultRowHeight="15" x14ac:dyDescent="0.25"/>
  <cols>
    <col min="1" max="1" width="24.42578125" customWidth="1"/>
    <col min="3" max="3" width="11.42578125" style="100"/>
    <col min="5" max="5" width="11.42578125" style="100"/>
    <col min="7" max="7" width="11.42578125" style="100"/>
    <col min="9" max="9" width="11.42578125" style="100"/>
    <col min="11" max="11" width="11.42578125" style="100"/>
    <col min="13" max="13" width="11.42578125" customWidth="1"/>
    <col min="17" max="17" width="19" customWidth="1"/>
  </cols>
  <sheetData>
    <row r="1" spans="1:20" ht="48" thickBot="1" x14ac:dyDescent="0.3">
      <c r="A1" s="101" t="s">
        <v>4</v>
      </c>
      <c r="B1" s="98" t="s">
        <v>299</v>
      </c>
      <c r="C1" s="99" t="s">
        <v>300</v>
      </c>
      <c r="D1" s="98" t="s">
        <v>301</v>
      </c>
      <c r="E1" s="99" t="s">
        <v>302</v>
      </c>
      <c r="F1" s="98" t="s">
        <v>303</v>
      </c>
      <c r="G1" s="99" t="s">
        <v>304</v>
      </c>
      <c r="H1" s="98" t="s">
        <v>305</v>
      </c>
      <c r="I1" s="99" t="s">
        <v>306</v>
      </c>
      <c r="J1" s="98" t="s">
        <v>307</v>
      </c>
      <c r="K1" s="99" t="s">
        <v>308</v>
      </c>
      <c r="L1" s="98" t="s">
        <v>309</v>
      </c>
    </row>
    <row r="2" spans="1:20" ht="15.75" thickBot="1" x14ac:dyDescent="0.3">
      <c r="A2" s="103" t="s">
        <v>5</v>
      </c>
      <c r="B2" s="18"/>
      <c r="C2" s="104"/>
      <c r="D2" s="18"/>
      <c r="E2" s="104"/>
      <c r="F2" s="18"/>
      <c r="G2" s="104"/>
      <c r="H2" s="18"/>
      <c r="I2" s="104"/>
      <c r="J2" s="18">
        <v>1</v>
      </c>
      <c r="K2" s="104"/>
      <c r="L2" s="18">
        <f>SUM(B2:K2)</f>
        <v>1</v>
      </c>
      <c r="P2" s="111">
        <v>12</v>
      </c>
      <c r="Q2" s="115" t="s">
        <v>265</v>
      </c>
      <c r="R2" s="111">
        <f t="shared" ref="R2:R33" si="0">P2*0.5</f>
        <v>6</v>
      </c>
      <c r="S2">
        <v>4</v>
      </c>
      <c r="T2">
        <f t="shared" ref="T2:T33" si="1">S2+R2</f>
        <v>10</v>
      </c>
    </row>
    <row r="3" spans="1:20" ht="15.75" thickBot="1" x14ac:dyDescent="0.3">
      <c r="A3" s="103" t="s">
        <v>6</v>
      </c>
      <c r="B3" s="18"/>
      <c r="C3" s="104"/>
      <c r="D3" s="18"/>
      <c r="E3" s="104"/>
      <c r="F3" s="18"/>
      <c r="G3" s="104"/>
      <c r="H3" s="18"/>
      <c r="I3" s="104"/>
      <c r="J3" s="18"/>
      <c r="K3" s="104"/>
      <c r="L3" s="18">
        <f t="shared" ref="L3:L66" si="2">SUM(B3:K3)</f>
        <v>0</v>
      </c>
      <c r="P3" s="112">
        <v>13</v>
      </c>
      <c r="Q3" s="13" t="s">
        <v>28</v>
      </c>
      <c r="R3" s="111">
        <f t="shared" si="0"/>
        <v>6.5</v>
      </c>
      <c r="S3">
        <v>3</v>
      </c>
      <c r="T3">
        <f t="shared" si="1"/>
        <v>9.5</v>
      </c>
    </row>
    <row r="4" spans="1:20" ht="15.75" thickBot="1" x14ac:dyDescent="0.3">
      <c r="A4" s="103" t="s">
        <v>9</v>
      </c>
      <c r="B4" s="18"/>
      <c r="C4" s="104"/>
      <c r="D4" s="18"/>
      <c r="E4" s="104"/>
      <c r="F4" s="18"/>
      <c r="G4" s="104"/>
      <c r="H4" s="18"/>
      <c r="I4" s="104"/>
      <c r="J4" s="18"/>
      <c r="K4" s="104"/>
      <c r="L4" s="18">
        <f t="shared" si="2"/>
        <v>0</v>
      </c>
      <c r="P4" s="112">
        <v>14</v>
      </c>
      <c r="Q4" s="13" t="s">
        <v>26</v>
      </c>
      <c r="R4" s="111">
        <f t="shared" si="0"/>
        <v>7</v>
      </c>
      <c r="S4">
        <v>2</v>
      </c>
      <c r="T4">
        <f t="shared" si="1"/>
        <v>9</v>
      </c>
    </row>
    <row r="5" spans="1:20" ht="15.75" thickBot="1" x14ac:dyDescent="0.3">
      <c r="A5" s="103" t="s">
        <v>10</v>
      </c>
      <c r="B5" s="18"/>
      <c r="C5" s="104"/>
      <c r="D5" s="18"/>
      <c r="E5" s="104"/>
      <c r="F5" s="18"/>
      <c r="G5" s="104"/>
      <c r="H5" s="18"/>
      <c r="I5" s="104"/>
      <c r="J5" s="18"/>
      <c r="K5" s="104"/>
      <c r="L5" s="18">
        <f t="shared" si="2"/>
        <v>0</v>
      </c>
      <c r="P5" s="112">
        <v>13</v>
      </c>
      <c r="Q5" s="115" t="s">
        <v>255</v>
      </c>
      <c r="R5" s="111">
        <f t="shared" si="0"/>
        <v>6.5</v>
      </c>
      <c r="S5">
        <v>1</v>
      </c>
      <c r="T5">
        <f t="shared" si="1"/>
        <v>7.5</v>
      </c>
    </row>
    <row r="6" spans="1:20" ht="15.75" thickBot="1" x14ac:dyDescent="0.3">
      <c r="A6" s="103" t="s">
        <v>18</v>
      </c>
      <c r="B6" s="18"/>
      <c r="C6" s="104"/>
      <c r="D6" s="18"/>
      <c r="E6" s="104"/>
      <c r="F6" s="18"/>
      <c r="G6" s="104"/>
      <c r="H6" s="18"/>
      <c r="I6" s="104"/>
      <c r="J6" s="18"/>
      <c r="K6" s="104"/>
      <c r="L6" s="18">
        <f t="shared" si="2"/>
        <v>0</v>
      </c>
      <c r="P6" s="112">
        <v>14</v>
      </c>
      <c r="Q6" s="13" t="s">
        <v>31</v>
      </c>
      <c r="R6" s="111">
        <f t="shared" si="0"/>
        <v>7</v>
      </c>
      <c r="T6">
        <f t="shared" si="1"/>
        <v>7</v>
      </c>
    </row>
    <row r="7" spans="1:20" ht="15.75" thickBot="1" x14ac:dyDescent="0.3">
      <c r="A7" s="103" t="s">
        <v>19</v>
      </c>
      <c r="B7" s="18"/>
      <c r="C7" s="104"/>
      <c r="D7" s="18"/>
      <c r="E7" s="104"/>
      <c r="F7" s="18"/>
      <c r="G7" s="104"/>
      <c r="H7" s="18"/>
      <c r="I7" s="104"/>
      <c r="J7" s="18"/>
      <c r="K7" s="104"/>
      <c r="L7" s="18">
        <f t="shared" si="2"/>
        <v>0</v>
      </c>
      <c r="P7" s="112">
        <v>14</v>
      </c>
      <c r="Q7" s="13" t="s">
        <v>33</v>
      </c>
      <c r="R7" s="111">
        <f t="shared" si="0"/>
        <v>7</v>
      </c>
      <c r="T7">
        <f t="shared" si="1"/>
        <v>7</v>
      </c>
    </row>
    <row r="8" spans="1:20" ht="15.75" thickBot="1" x14ac:dyDescent="0.3">
      <c r="A8" s="103" t="s">
        <v>21</v>
      </c>
      <c r="B8" s="18"/>
      <c r="C8" s="104"/>
      <c r="D8" s="18"/>
      <c r="E8" s="104"/>
      <c r="F8" s="18"/>
      <c r="G8" s="104"/>
      <c r="H8" s="18"/>
      <c r="I8" s="104"/>
      <c r="J8" s="18"/>
      <c r="K8" s="104"/>
      <c r="L8" s="18">
        <f t="shared" si="2"/>
        <v>0</v>
      </c>
      <c r="P8" s="112">
        <v>14</v>
      </c>
      <c r="Q8" s="115" t="s">
        <v>253</v>
      </c>
      <c r="R8" s="111">
        <f t="shared" si="0"/>
        <v>7</v>
      </c>
      <c r="T8">
        <f t="shared" si="1"/>
        <v>7</v>
      </c>
    </row>
    <row r="9" spans="1:20" ht="15.75" thickBot="1" x14ac:dyDescent="0.3">
      <c r="A9" s="103" t="s">
        <v>22</v>
      </c>
      <c r="B9" s="18"/>
      <c r="C9" s="104"/>
      <c r="D9" s="18"/>
      <c r="E9" s="104"/>
      <c r="F9" s="18"/>
      <c r="G9" s="104"/>
      <c r="H9" s="18"/>
      <c r="I9" s="104"/>
      <c r="J9" s="18"/>
      <c r="K9" s="104"/>
      <c r="L9" s="18">
        <f t="shared" si="2"/>
        <v>0</v>
      </c>
      <c r="P9" s="112">
        <v>14</v>
      </c>
      <c r="Q9" s="115" t="s">
        <v>254</v>
      </c>
      <c r="R9" s="111">
        <f t="shared" si="0"/>
        <v>7</v>
      </c>
      <c r="T9">
        <f t="shared" si="1"/>
        <v>7</v>
      </c>
    </row>
    <row r="10" spans="1:20" ht="15.75" thickBot="1" x14ac:dyDescent="0.3">
      <c r="A10" s="103" t="s">
        <v>25</v>
      </c>
      <c r="B10" s="18"/>
      <c r="C10" s="104"/>
      <c r="D10" s="18"/>
      <c r="E10" s="104"/>
      <c r="F10" s="18"/>
      <c r="G10" s="104"/>
      <c r="H10" s="18"/>
      <c r="I10" s="104"/>
      <c r="J10" s="18"/>
      <c r="K10" s="104"/>
      <c r="L10" s="18">
        <f t="shared" si="2"/>
        <v>0</v>
      </c>
      <c r="P10" s="112">
        <v>14</v>
      </c>
      <c r="Q10" s="115" t="s">
        <v>264</v>
      </c>
      <c r="R10" s="111">
        <f t="shared" si="0"/>
        <v>7</v>
      </c>
      <c r="T10">
        <f t="shared" si="1"/>
        <v>7</v>
      </c>
    </row>
    <row r="11" spans="1:20" ht="15.75" thickBot="1" x14ac:dyDescent="0.3">
      <c r="A11" s="103" t="s">
        <v>26</v>
      </c>
      <c r="B11" s="18"/>
      <c r="C11" s="104"/>
      <c r="D11" s="18"/>
      <c r="E11" s="104"/>
      <c r="F11" s="18"/>
      <c r="G11" s="104"/>
      <c r="H11" s="18"/>
      <c r="I11" s="104"/>
      <c r="J11" s="18">
        <v>2</v>
      </c>
      <c r="K11" s="104"/>
      <c r="L11" s="18">
        <f t="shared" si="2"/>
        <v>2</v>
      </c>
      <c r="P11" s="112">
        <v>9.8000000000000007</v>
      </c>
      <c r="Q11" s="115" t="s">
        <v>224</v>
      </c>
      <c r="R11" s="111">
        <f t="shared" si="0"/>
        <v>4.9000000000000004</v>
      </c>
      <c r="S11">
        <v>2</v>
      </c>
      <c r="T11">
        <f t="shared" si="1"/>
        <v>6.9</v>
      </c>
    </row>
    <row r="12" spans="1:20" ht="15.75" thickBot="1" x14ac:dyDescent="0.3">
      <c r="A12" s="103" t="s">
        <v>27</v>
      </c>
      <c r="B12" s="18"/>
      <c r="C12" s="104"/>
      <c r="D12" s="18"/>
      <c r="E12" s="104"/>
      <c r="F12" s="18"/>
      <c r="G12" s="104"/>
      <c r="H12" s="18"/>
      <c r="I12" s="104"/>
      <c r="J12" s="18"/>
      <c r="K12" s="104"/>
      <c r="L12" s="18">
        <f t="shared" si="2"/>
        <v>0</v>
      </c>
      <c r="P12" s="112">
        <v>13</v>
      </c>
      <c r="Q12" s="13" t="s">
        <v>19</v>
      </c>
      <c r="R12" s="111">
        <f t="shared" si="0"/>
        <v>6.5</v>
      </c>
      <c r="T12">
        <f t="shared" si="1"/>
        <v>6.5</v>
      </c>
    </row>
    <row r="13" spans="1:20" ht="15.75" thickBot="1" x14ac:dyDescent="0.3">
      <c r="A13" s="103" t="s">
        <v>28</v>
      </c>
      <c r="B13" s="18"/>
      <c r="C13" s="104">
        <v>-2</v>
      </c>
      <c r="D13" s="18"/>
      <c r="E13" s="104"/>
      <c r="F13" s="18"/>
      <c r="G13" s="104"/>
      <c r="H13" s="18"/>
      <c r="I13" s="104"/>
      <c r="J13" s="18"/>
      <c r="K13" s="104">
        <v>5</v>
      </c>
      <c r="L13" s="18">
        <f t="shared" si="2"/>
        <v>3</v>
      </c>
      <c r="P13" s="112">
        <v>13</v>
      </c>
      <c r="Q13" s="13" t="s">
        <v>25</v>
      </c>
      <c r="R13" s="111">
        <f t="shared" si="0"/>
        <v>6.5</v>
      </c>
      <c r="T13">
        <f t="shared" si="1"/>
        <v>6.5</v>
      </c>
    </row>
    <row r="14" spans="1:20" ht="15.75" thickBot="1" x14ac:dyDescent="0.3">
      <c r="A14" s="103" t="s">
        <v>31</v>
      </c>
      <c r="B14" s="18"/>
      <c r="C14" s="104"/>
      <c r="D14" s="18"/>
      <c r="E14" s="104"/>
      <c r="F14" s="18"/>
      <c r="G14" s="104"/>
      <c r="H14" s="18"/>
      <c r="I14" s="104"/>
      <c r="J14" s="18"/>
      <c r="K14" s="104"/>
      <c r="L14" s="18">
        <f t="shared" si="2"/>
        <v>0</v>
      </c>
      <c r="P14" s="112">
        <v>13</v>
      </c>
      <c r="Q14" s="115" t="s">
        <v>109</v>
      </c>
      <c r="R14" s="111">
        <f t="shared" si="0"/>
        <v>6.5</v>
      </c>
      <c r="T14">
        <f t="shared" si="1"/>
        <v>6.5</v>
      </c>
    </row>
    <row r="15" spans="1:20" ht="15.75" thickBot="1" x14ac:dyDescent="0.3">
      <c r="A15" s="103" t="s">
        <v>32</v>
      </c>
      <c r="B15" s="18"/>
      <c r="C15" s="104"/>
      <c r="D15" s="18"/>
      <c r="E15" s="104"/>
      <c r="F15" s="18"/>
      <c r="G15" s="104"/>
      <c r="H15" s="18"/>
      <c r="I15" s="104"/>
      <c r="J15" s="18"/>
      <c r="K15" s="104"/>
      <c r="L15" s="18">
        <f t="shared" si="2"/>
        <v>0</v>
      </c>
      <c r="P15" s="112">
        <v>13</v>
      </c>
      <c r="Q15" s="115" t="s">
        <v>164</v>
      </c>
      <c r="R15" s="111">
        <f t="shared" si="0"/>
        <v>6.5</v>
      </c>
      <c r="T15">
        <f t="shared" si="1"/>
        <v>6.5</v>
      </c>
    </row>
    <row r="16" spans="1:20" ht="15.75" thickBot="1" x14ac:dyDescent="0.3">
      <c r="A16" s="103" t="s">
        <v>33</v>
      </c>
      <c r="B16" s="18"/>
      <c r="C16" s="104"/>
      <c r="D16" s="18"/>
      <c r="E16" s="104"/>
      <c r="F16" s="18"/>
      <c r="G16" s="104"/>
      <c r="H16" s="18"/>
      <c r="I16" s="104"/>
      <c r="J16" s="18"/>
      <c r="K16" s="104">
        <v>1</v>
      </c>
      <c r="L16" s="18">
        <f t="shared" si="2"/>
        <v>1</v>
      </c>
      <c r="P16" s="112">
        <v>13</v>
      </c>
      <c r="Q16" s="115" t="s">
        <v>168</v>
      </c>
      <c r="R16" s="111">
        <f t="shared" si="0"/>
        <v>6.5</v>
      </c>
      <c r="T16">
        <f t="shared" si="1"/>
        <v>6.5</v>
      </c>
    </row>
    <row r="17" spans="1:20" ht="15.75" thickBot="1" x14ac:dyDescent="0.3">
      <c r="A17" s="103" t="s">
        <v>36</v>
      </c>
      <c r="B17" s="18"/>
      <c r="C17" s="104"/>
      <c r="D17" s="18"/>
      <c r="E17" s="104"/>
      <c r="F17" s="18"/>
      <c r="G17" s="104"/>
      <c r="H17" s="18"/>
      <c r="I17" s="104"/>
      <c r="J17" s="18"/>
      <c r="K17" s="104"/>
      <c r="L17" s="18">
        <f t="shared" si="2"/>
        <v>0</v>
      </c>
      <c r="P17" s="112">
        <v>13</v>
      </c>
      <c r="Q17" s="115" t="s">
        <v>170</v>
      </c>
      <c r="R17" s="111">
        <f t="shared" si="0"/>
        <v>6.5</v>
      </c>
      <c r="T17">
        <f t="shared" si="1"/>
        <v>6.5</v>
      </c>
    </row>
    <row r="18" spans="1:20" ht="15.75" thickBot="1" x14ac:dyDescent="0.3">
      <c r="A18" s="103" t="s">
        <v>35</v>
      </c>
      <c r="B18" s="18"/>
      <c r="C18" s="104"/>
      <c r="D18" s="18"/>
      <c r="E18" s="104"/>
      <c r="F18" s="18"/>
      <c r="G18" s="104"/>
      <c r="H18" s="18"/>
      <c r="I18" s="104"/>
      <c r="J18" s="18"/>
      <c r="K18" s="104"/>
      <c r="L18" s="18">
        <f t="shared" si="2"/>
        <v>0</v>
      </c>
      <c r="P18" s="112">
        <v>13</v>
      </c>
      <c r="Q18" s="115" t="s">
        <v>187</v>
      </c>
      <c r="R18" s="111">
        <f t="shared" si="0"/>
        <v>6.5</v>
      </c>
      <c r="T18">
        <f t="shared" si="1"/>
        <v>6.5</v>
      </c>
    </row>
    <row r="19" spans="1:20" ht="15.75" thickBot="1" x14ac:dyDescent="0.3">
      <c r="A19" s="103" t="s">
        <v>34</v>
      </c>
      <c r="B19" s="18"/>
      <c r="C19" s="104"/>
      <c r="D19" s="18"/>
      <c r="E19" s="104"/>
      <c r="F19" s="18"/>
      <c r="G19" s="104"/>
      <c r="H19" s="18"/>
      <c r="I19" s="104"/>
      <c r="J19" s="18"/>
      <c r="K19" s="104"/>
      <c r="L19" s="18">
        <f t="shared" si="2"/>
        <v>0</v>
      </c>
      <c r="P19" s="112">
        <v>13</v>
      </c>
      <c r="Q19" s="115" t="s">
        <v>252</v>
      </c>
      <c r="R19" s="111">
        <f t="shared" si="0"/>
        <v>6.5</v>
      </c>
      <c r="T19">
        <f t="shared" si="1"/>
        <v>6.5</v>
      </c>
    </row>
    <row r="20" spans="1:20" ht="15.75" thickBot="1" x14ac:dyDescent="0.3">
      <c r="A20" s="103" t="s">
        <v>40</v>
      </c>
      <c r="B20" s="18"/>
      <c r="C20" s="104"/>
      <c r="D20" s="18"/>
      <c r="E20" s="104"/>
      <c r="F20" s="18"/>
      <c r="G20" s="104"/>
      <c r="H20" s="18"/>
      <c r="I20" s="104"/>
      <c r="J20" s="18"/>
      <c r="K20" s="104"/>
      <c r="L20" s="18">
        <f t="shared" si="2"/>
        <v>0</v>
      </c>
      <c r="P20" s="112">
        <v>13</v>
      </c>
      <c r="Q20" s="115" t="s">
        <v>271</v>
      </c>
      <c r="R20" s="111">
        <f t="shared" si="0"/>
        <v>6.5</v>
      </c>
      <c r="T20">
        <f t="shared" si="1"/>
        <v>6.5</v>
      </c>
    </row>
    <row r="21" spans="1:20" ht="15.75" thickBot="1" x14ac:dyDescent="0.3">
      <c r="A21" s="103" t="s">
        <v>63</v>
      </c>
      <c r="B21" s="18"/>
      <c r="C21" s="104"/>
      <c r="D21" s="18"/>
      <c r="E21" s="104"/>
      <c r="F21" s="18"/>
      <c r="G21" s="104"/>
      <c r="H21" s="18"/>
      <c r="I21" s="104"/>
      <c r="J21" s="18"/>
      <c r="K21" s="104"/>
      <c r="L21" s="18">
        <f t="shared" si="2"/>
        <v>0</v>
      </c>
      <c r="P21" s="112">
        <v>13</v>
      </c>
      <c r="Q21" s="115" t="s">
        <v>290</v>
      </c>
      <c r="R21" s="111">
        <f t="shared" si="0"/>
        <v>6.5</v>
      </c>
      <c r="T21">
        <f t="shared" si="1"/>
        <v>6.5</v>
      </c>
    </row>
    <row r="22" spans="1:20" ht="15.75" thickBot="1" x14ac:dyDescent="0.3">
      <c r="A22" s="102" t="s">
        <v>109</v>
      </c>
      <c r="B22" s="18"/>
      <c r="C22" s="104"/>
      <c r="D22" s="18"/>
      <c r="E22" s="104"/>
      <c r="F22" s="18"/>
      <c r="G22" s="104"/>
      <c r="H22" s="18"/>
      <c r="I22" s="104"/>
      <c r="J22" s="18"/>
      <c r="K22" s="104"/>
      <c r="L22" s="18">
        <f t="shared" si="2"/>
        <v>0</v>
      </c>
      <c r="P22" s="112">
        <v>13</v>
      </c>
      <c r="Q22" s="115" t="s">
        <v>287</v>
      </c>
      <c r="R22" s="111">
        <f t="shared" si="0"/>
        <v>6.5</v>
      </c>
      <c r="T22">
        <f t="shared" si="1"/>
        <v>6.5</v>
      </c>
    </row>
    <row r="23" spans="1:20" ht="15.75" thickBot="1" x14ac:dyDescent="0.3">
      <c r="A23" s="102" t="s">
        <v>110</v>
      </c>
      <c r="B23" s="18"/>
      <c r="C23" s="104"/>
      <c r="D23" s="18"/>
      <c r="E23" s="104"/>
      <c r="F23" s="18"/>
      <c r="G23" s="104"/>
      <c r="H23" s="18"/>
      <c r="I23" s="104"/>
      <c r="J23" s="18"/>
      <c r="K23" s="104"/>
      <c r="L23" s="18">
        <f t="shared" si="2"/>
        <v>0</v>
      </c>
      <c r="P23" s="112">
        <v>11</v>
      </c>
      <c r="Q23" s="13" t="s">
        <v>5</v>
      </c>
      <c r="R23" s="111">
        <f t="shared" si="0"/>
        <v>5.5</v>
      </c>
      <c r="S23">
        <v>1</v>
      </c>
      <c r="T23">
        <f t="shared" si="1"/>
        <v>6.5</v>
      </c>
    </row>
    <row r="24" spans="1:20" ht="15.75" thickBot="1" x14ac:dyDescent="0.3">
      <c r="A24" s="102" t="s">
        <v>126</v>
      </c>
      <c r="B24" s="18"/>
      <c r="C24" s="104"/>
      <c r="D24" s="18"/>
      <c r="E24" s="104"/>
      <c r="F24" s="18"/>
      <c r="G24" s="104"/>
      <c r="H24" s="18"/>
      <c r="I24" s="104"/>
      <c r="J24" s="18"/>
      <c r="K24" s="104"/>
      <c r="L24" s="18">
        <f t="shared" si="2"/>
        <v>0</v>
      </c>
      <c r="P24" s="112">
        <v>12</v>
      </c>
      <c r="Q24" s="115" t="s">
        <v>110</v>
      </c>
      <c r="R24" s="111">
        <f t="shared" si="0"/>
        <v>6</v>
      </c>
      <c r="T24">
        <f t="shared" si="1"/>
        <v>6</v>
      </c>
    </row>
    <row r="25" spans="1:20" ht="15.75" thickBot="1" x14ac:dyDescent="0.3">
      <c r="A25" s="102" t="s">
        <v>127</v>
      </c>
      <c r="B25" s="18"/>
      <c r="C25" s="104"/>
      <c r="D25" s="18"/>
      <c r="E25" s="104"/>
      <c r="F25" s="18"/>
      <c r="G25" s="104"/>
      <c r="H25" s="18"/>
      <c r="I25" s="104"/>
      <c r="J25" s="18"/>
      <c r="K25" s="104"/>
      <c r="L25" s="18">
        <f t="shared" si="2"/>
        <v>0</v>
      </c>
      <c r="P25" s="112">
        <v>12</v>
      </c>
      <c r="Q25" s="115" t="s">
        <v>169</v>
      </c>
      <c r="R25" s="111">
        <f t="shared" si="0"/>
        <v>6</v>
      </c>
      <c r="T25">
        <f t="shared" si="1"/>
        <v>6</v>
      </c>
    </row>
    <row r="26" spans="1:20" ht="15.75" thickBot="1" x14ac:dyDescent="0.3">
      <c r="A26" s="102" t="s">
        <v>131</v>
      </c>
      <c r="B26" s="18"/>
      <c r="C26" s="104"/>
      <c r="D26" s="18"/>
      <c r="E26" s="104"/>
      <c r="F26" s="18"/>
      <c r="G26" s="104"/>
      <c r="H26" s="18"/>
      <c r="I26" s="104"/>
      <c r="J26" s="18"/>
      <c r="K26" s="104"/>
      <c r="L26" s="18">
        <f t="shared" si="2"/>
        <v>0</v>
      </c>
      <c r="P26" s="112">
        <v>12</v>
      </c>
      <c r="Q26" s="115" t="s">
        <v>266</v>
      </c>
      <c r="R26" s="111">
        <f t="shared" si="0"/>
        <v>6</v>
      </c>
      <c r="T26">
        <f t="shared" si="1"/>
        <v>6</v>
      </c>
    </row>
    <row r="27" spans="1:20" ht="15.75" thickBot="1" x14ac:dyDescent="0.3">
      <c r="A27" s="102" t="s">
        <v>146</v>
      </c>
      <c r="B27" s="18"/>
      <c r="C27" s="104"/>
      <c r="D27" s="18"/>
      <c r="E27" s="104"/>
      <c r="F27" s="18"/>
      <c r="G27" s="104"/>
      <c r="H27" s="18"/>
      <c r="I27" s="104"/>
      <c r="J27" s="18"/>
      <c r="K27" s="104"/>
      <c r="L27" s="18">
        <f t="shared" si="2"/>
        <v>0</v>
      </c>
      <c r="P27" s="112">
        <v>11</v>
      </c>
      <c r="Q27" s="14" t="s">
        <v>6</v>
      </c>
      <c r="R27" s="111">
        <f t="shared" si="0"/>
        <v>5.5</v>
      </c>
      <c r="T27">
        <f t="shared" si="1"/>
        <v>5.5</v>
      </c>
    </row>
    <row r="28" spans="1:20" ht="15.75" thickBot="1" x14ac:dyDescent="0.3">
      <c r="A28" s="102" t="s">
        <v>147</v>
      </c>
      <c r="B28" s="18"/>
      <c r="C28" s="104"/>
      <c r="D28" s="18"/>
      <c r="E28" s="104"/>
      <c r="F28" s="18"/>
      <c r="G28" s="104"/>
      <c r="H28" s="18"/>
      <c r="I28" s="104"/>
      <c r="J28" s="18"/>
      <c r="K28" s="104"/>
      <c r="L28" s="18">
        <f t="shared" si="2"/>
        <v>0</v>
      </c>
      <c r="P28" s="112">
        <v>11</v>
      </c>
      <c r="Q28" s="13" t="s">
        <v>18</v>
      </c>
      <c r="R28" s="111">
        <f t="shared" si="0"/>
        <v>5.5</v>
      </c>
      <c r="T28">
        <f t="shared" si="1"/>
        <v>5.5</v>
      </c>
    </row>
    <row r="29" spans="1:20" ht="15.75" thickBot="1" x14ac:dyDescent="0.3">
      <c r="A29" s="102" t="s">
        <v>158</v>
      </c>
      <c r="B29" s="18"/>
      <c r="C29" s="104"/>
      <c r="D29" s="18"/>
      <c r="E29" s="104"/>
      <c r="F29" s="18"/>
      <c r="G29" s="104"/>
      <c r="H29" s="18"/>
      <c r="I29" s="104"/>
      <c r="J29" s="18"/>
      <c r="K29" s="104"/>
      <c r="L29" s="18">
        <f t="shared" si="2"/>
        <v>0</v>
      </c>
      <c r="P29" s="112">
        <v>11</v>
      </c>
      <c r="Q29" s="13" t="s">
        <v>36</v>
      </c>
      <c r="R29" s="111">
        <f t="shared" si="0"/>
        <v>5.5</v>
      </c>
      <c r="T29">
        <f t="shared" si="1"/>
        <v>5.5</v>
      </c>
    </row>
    <row r="30" spans="1:20" ht="15.75" thickBot="1" x14ac:dyDescent="0.3">
      <c r="A30" s="102" t="s">
        <v>224</v>
      </c>
      <c r="B30" s="18"/>
      <c r="C30" s="104"/>
      <c r="D30" s="18"/>
      <c r="E30" s="104"/>
      <c r="F30" s="18"/>
      <c r="G30" s="104"/>
      <c r="H30" s="18"/>
      <c r="I30" s="104"/>
      <c r="J30" s="18">
        <v>2</v>
      </c>
      <c r="K30" s="104"/>
      <c r="L30" s="18">
        <f t="shared" si="2"/>
        <v>2</v>
      </c>
      <c r="P30" s="112">
        <v>11</v>
      </c>
      <c r="Q30" s="20" t="s">
        <v>35</v>
      </c>
      <c r="R30" s="111">
        <f t="shared" si="0"/>
        <v>5.5</v>
      </c>
      <c r="T30">
        <f t="shared" si="1"/>
        <v>5.5</v>
      </c>
    </row>
    <row r="31" spans="1:20" ht="15.75" thickBot="1" x14ac:dyDescent="0.3">
      <c r="A31" s="102" t="s">
        <v>164</v>
      </c>
      <c r="B31" s="18"/>
      <c r="C31" s="104"/>
      <c r="D31" s="18"/>
      <c r="E31" s="104"/>
      <c r="F31" s="18"/>
      <c r="G31" s="104"/>
      <c r="H31" s="18"/>
      <c r="I31" s="104"/>
      <c r="J31" s="18"/>
      <c r="K31" s="104"/>
      <c r="L31" s="18">
        <f t="shared" si="2"/>
        <v>0</v>
      </c>
      <c r="P31" s="112">
        <v>11</v>
      </c>
      <c r="Q31" s="19" t="s">
        <v>158</v>
      </c>
      <c r="R31" s="111">
        <f t="shared" si="0"/>
        <v>5.5</v>
      </c>
      <c r="T31">
        <f t="shared" si="1"/>
        <v>5.5</v>
      </c>
    </row>
    <row r="32" spans="1:20" ht="15.75" thickBot="1" x14ac:dyDescent="0.3">
      <c r="A32" s="102" t="s">
        <v>163</v>
      </c>
      <c r="B32" s="18"/>
      <c r="C32" s="104"/>
      <c r="D32" s="18"/>
      <c r="E32" s="104"/>
      <c r="F32" s="18"/>
      <c r="G32" s="104"/>
      <c r="H32" s="18"/>
      <c r="I32" s="104"/>
      <c r="J32" s="18"/>
      <c r="K32" s="104"/>
      <c r="L32" s="18">
        <f t="shared" si="2"/>
        <v>0</v>
      </c>
      <c r="P32" s="112">
        <v>11</v>
      </c>
      <c r="Q32" s="19" t="s">
        <v>160</v>
      </c>
      <c r="R32" s="111">
        <f t="shared" si="0"/>
        <v>5.5</v>
      </c>
      <c r="T32">
        <f t="shared" si="1"/>
        <v>5.5</v>
      </c>
    </row>
    <row r="33" spans="1:20" ht="15.75" thickBot="1" x14ac:dyDescent="0.3">
      <c r="A33" s="102" t="s">
        <v>162</v>
      </c>
      <c r="B33" s="18"/>
      <c r="C33" s="104"/>
      <c r="D33" s="18"/>
      <c r="E33" s="104"/>
      <c r="F33" s="18"/>
      <c r="G33" s="104"/>
      <c r="H33" s="18"/>
      <c r="I33" s="104"/>
      <c r="J33" s="18"/>
      <c r="K33" s="104"/>
      <c r="L33" s="18">
        <f t="shared" si="2"/>
        <v>0</v>
      </c>
      <c r="P33" s="112">
        <v>11</v>
      </c>
      <c r="Q33" s="19" t="s">
        <v>270</v>
      </c>
      <c r="R33" s="111">
        <f t="shared" si="0"/>
        <v>5.5</v>
      </c>
      <c r="T33">
        <f t="shared" si="1"/>
        <v>5.5</v>
      </c>
    </row>
    <row r="34" spans="1:20" ht="15.75" thickBot="1" x14ac:dyDescent="0.3">
      <c r="A34" s="102" t="s">
        <v>159</v>
      </c>
      <c r="B34" s="18"/>
      <c r="C34" s="104"/>
      <c r="D34" s="18"/>
      <c r="E34" s="104"/>
      <c r="F34" s="18"/>
      <c r="G34" s="104"/>
      <c r="H34" s="18"/>
      <c r="I34" s="104"/>
      <c r="J34" s="18"/>
      <c r="K34" s="104"/>
      <c r="L34" s="18">
        <f t="shared" si="2"/>
        <v>0</v>
      </c>
      <c r="P34" s="112">
        <v>9.8000000000000007</v>
      </c>
      <c r="Q34" s="14" t="s">
        <v>32</v>
      </c>
      <c r="R34" s="111">
        <f t="shared" ref="R34:R65" si="3">P34*0.5</f>
        <v>4.9000000000000004</v>
      </c>
      <c r="T34">
        <f t="shared" ref="T34:T65" si="4">S34+R34</f>
        <v>4.9000000000000004</v>
      </c>
    </row>
    <row r="35" spans="1:20" ht="15.75" thickBot="1" x14ac:dyDescent="0.3">
      <c r="A35" s="102" t="s">
        <v>160</v>
      </c>
      <c r="B35" s="18"/>
      <c r="C35" s="104"/>
      <c r="D35" s="18"/>
      <c r="E35" s="104"/>
      <c r="F35" s="18"/>
      <c r="G35" s="104"/>
      <c r="H35" s="18"/>
      <c r="I35" s="104"/>
      <c r="J35" s="18"/>
      <c r="K35" s="104"/>
      <c r="L35" s="18">
        <f t="shared" si="2"/>
        <v>0</v>
      </c>
      <c r="P35" s="112">
        <v>9.8000000000000007</v>
      </c>
      <c r="Q35" s="19" t="s">
        <v>161</v>
      </c>
      <c r="R35" s="111">
        <f t="shared" si="3"/>
        <v>4.9000000000000004</v>
      </c>
      <c r="T35">
        <f t="shared" si="4"/>
        <v>4.9000000000000004</v>
      </c>
    </row>
    <row r="36" spans="1:20" ht="15.75" thickBot="1" x14ac:dyDescent="0.3">
      <c r="A36" s="102" t="s">
        <v>161</v>
      </c>
      <c r="B36" s="18"/>
      <c r="C36" s="104"/>
      <c r="D36" s="18"/>
      <c r="E36" s="104"/>
      <c r="F36" s="18"/>
      <c r="G36" s="104"/>
      <c r="H36" s="18"/>
      <c r="I36" s="104"/>
      <c r="J36" s="18"/>
      <c r="K36" s="104"/>
      <c r="L36" s="18">
        <f t="shared" si="2"/>
        <v>0</v>
      </c>
      <c r="P36" s="112">
        <v>7.7</v>
      </c>
      <c r="Q36" s="14" t="s">
        <v>27</v>
      </c>
      <c r="R36" s="111">
        <f t="shared" si="3"/>
        <v>3.85</v>
      </c>
      <c r="T36">
        <f t="shared" si="4"/>
        <v>3.85</v>
      </c>
    </row>
    <row r="37" spans="1:20" ht="15.75" thickBot="1" x14ac:dyDescent="0.3">
      <c r="A37" s="102" t="s">
        <v>168</v>
      </c>
      <c r="B37" s="18"/>
      <c r="C37" s="104"/>
      <c r="D37" s="18"/>
      <c r="E37" s="104"/>
      <c r="F37" s="18"/>
      <c r="G37" s="104"/>
      <c r="H37" s="18"/>
      <c r="I37" s="104"/>
      <c r="J37" s="18"/>
      <c r="K37" s="104"/>
      <c r="L37" s="18">
        <f t="shared" si="2"/>
        <v>0</v>
      </c>
      <c r="P37" s="112">
        <v>7.7</v>
      </c>
      <c r="Q37" s="19" t="s">
        <v>126</v>
      </c>
      <c r="R37" s="111">
        <f t="shared" si="3"/>
        <v>3.85</v>
      </c>
      <c r="T37">
        <f t="shared" si="4"/>
        <v>3.85</v>
      </c>
    </row>
    <row r="38" spans="1:20" ht="15.75" thickBot="1" x14ac:dyDescent="0.3">
      <c r="A38" s="102" t="s">
        <v>169</v>
      </c>
      <c r="B38" s="18"/>
      <c r="C38" s="104"/>
      <c r="D38" s="18"/>
      <c r="E38" s="104"/>
      <c r="F38" s="18"/>
      <c r="G38" s="104"/>
      <c r="H38" s="18"/>
      <c r="I38" s="104"/>
      <c r="J38" s="18"/>
      <c r="K38" s="104"/>
      <c r="L38" s="18">
        <f t="shared" si="2"/>
        <v>0</v>
      </c>
      <c r="P38" s="112">
        <v>7.7</v>
      </c>
      <c r="Q38" s="19" t="s">
        <v>298</v>
      </c>
      <c r="R38" s="111">
        <f t="shared" si="3"/>
        <v>3.85</v>
      </c>
      <c r="T38">
        <f t="shared" si="4"/>
        <v>3.85</v>
      </c>
    </row>
    <row r="39" spans="1:20" ht="15.75" thickBot="1" x14ac:dyDescent="0.3">
      <c r="A39" s="102" t="s">
        <v>170</v>
      </c>
      <c r="B39" s="18"/>
      <c r="C39" s="104"/>
      <c r="D39" s="18"/>
      <c r="E39" s="104"/>
      <c r="F39" s="18"/>
      <c r="G39" s="104"/>
      <c r="H39" s="18"/>
      <c r="I39" s="104"/>
      <c r="J39" s="18"/>
      <c r="K39" s="104"/>
      <c r="L39" s="18">
        <f t="shared" si="2"/>
        <v>0</v>
      </c>
      <c r="P39" s="112">
        <v>7</v>
      </c>
      <c r="Q39" s="19" t="s">
        <v>315</v>
      </c>
      <c r="R39" s="111">
        <f t="shared" si="3"/>
        <v>3.5</v>
      </c>
      <c r="T39">
        <f t="shared" si="4"/>
        <v>3.5</v>
      </c>
    </row>
    <row r="40" spans="1:20" ht="15.75" thickBot="1" x14ac:dyDescent="0.3">
      <c r="A40" s="102" t="s">
        <v>171</v>
      </c>
      <c r="B40" s="18"/>
      <c r="C40" s="104"/>
      <c r="D40" s="18"/>
      <c r="E40" s="104"/>
      <c r="F40" s="18"/>
      <c r="G40" s="104"/>
      <c r="H40" s="18"/>
      <c r="I40" s="104"/>
      <c r="J40" s="18"/>
      <c r="K40" s="104"/>
      <c r="L40" s="18">
        <f t="shared" si="2"/>
        <v>0</v>
      </c>
      <c r="P40" s="112">
        <v>6.3</v>
      </c>
      <c r="Q40" s="19" t="s">
        <v>127</v>
      </c>
      <c r="R40" s="111">
        <f t="shared" si="3"/>
        <v>3.15</v>
      </c>
      <c r="T40">
        <f t="shared" si="4"/>
        <v>3.15</v>
      </c>
    </row>
    <row r="41" spans="1:20" ht="15.75" thickBot="1" x14ac:dyDescent="0.3">
      <c r="A41" s="102" t="s">
        <v>180</v>
      </c>
      <c r="B41" s="18"/>
      <c r="C41" s="104"/>
      <c r="D41" s="18"/>
      <c r="E41" s="104"/>
      <c r="F41" s="18"/>
      <c r="G41" s="104"/>
      <c r="H41" s="18"/>
      <c r="I41" s="104"/>
      <c r="J41" s="18"/>
      <c r="K41" s="104"/>
      <c r="L41" s="18">
        <f t="shared" si="2"/>
        <v>0</v>
      </c>
      <c r="P41" s="112">
        <v>6.3</v>
      </c>
      <c r="Q41" s="19" t="s">
        <v>316</v>
      </c>
      <c r="R41" s="111">
        <f t="shared" si="3"/>
        <v>3.15</v>
      </c>
      <c r="T41">
        <f t="shared" si="4"/>
        <v>3.15</v>
      </c>
    </row>
    <row r="42" spans="1:20" ht="15.75" thickBot="1" x14ac:dyDescent="0.3">
      <c r="A42" s="102" t="s">
        <v>181</v>
      </c>
      <c r="B42" s="18"/>
      <c r="C42" s="104"/>
      <c r="D42" s="18"/>
      <c r="E42" s="104"/>
      <c r="F42" s="18"/>
      <c r="G42" s="104"/>
      <c r="H42" s="18"/>
      <c r="I42" s="104"/>
      <c r="J42" s="18"/>
      <c r="K42" s="104"/>
      <c r="L42" s="18">
        <f t="shared" si="2"/>
        <v>0</v>
      </c>
      <c r="P42" s="112">
        <v>5.6</v>
      </c>
      <c r="Q42" s="14" t="s">
        <v>10</v>
      </c>
      <c r="R42" s="111">
        <f t="shared" si="3"/>
        <v>2.8</v>
      </c>
      <c r="T42">
        <f t="shared" si="4"/>
        <v>2.8</v>
      </c>
    </row>
    <row r="43" spans="1:20" ht="15.75" thickBot="1" x14ac:dyDescent="0.3">
      <c r="A43" s="102" t="s">
        <v>182</v>
      </c>
      <c r="B43" s="18"/>
      <c r="C43" s="104"/>
      <c r="D43" s="18"/>
      <c r="E43" s="104"/>
      <c r="F43" s="18"/>
      <c r="G43" s="104"/>
      <c r="H43" s="18"/>
      <c r="I43" s="104"/>
      <c r="J43" s="18"/>
      <c r="K43" s="104"/>
      <c r="L43" s="18">
        <f t="shared" si="2"/>
        <v>0</v>
      </c>
      <c r="P43" s="112">
        <v>4.9000000000000004</v>
      </c>
      <c r="Q43" s="14" t="s">
        <v>9</v>
      </c>
      <c r="R43" s="111">
        <f t="shared" si="3"/>
        <v>2.4500000000000002</v>
      </c>
      <c r="T43">
        <f t="shared" si="4"/>
        <v>2.4500000000000002</v>
      </c>
    </row>
    <row r="44" spans="1:20" ht="15.75" thickBot="1" x14ac:dyDescent="0.3">
      <c r="A44" s="102" t="s">
        <v>188</v>
      </c>
      <c r="B44" s="18"/>
      <c r="C44" s="104"/>
      <c r="D44" s="18"/>
      <c r="E44" s="104"/>
      <c r="F44" s="18"/>
      <c r="G44" s="104"/>
      <c r="H44" s="18"/>
      <c r="I44" s="104"/>
      <c r="J44" s="18"/>
      <c r="K44" s="104"/>
      <c r="L44" s="18">
        <f t="shared" si="2"/>
        <v>0</v>
      </c>
      <c r="P44" s="112">
        <v>4.9000000000000004</v>
      </c>
      <c r="Q44" s="119" t="s">
        <v>22</v>
      </c>
      <c r="R44" s="111">
        <f t="shared" si="3"/>
        <v>2.4500000000000002</v>
      </c>
      <c r="T44">
        <f t="shared" si="4"/>
        <v>2.4500000000000002</v>
      </c>
    </row>
    <row r="45" spans="1:20" ht="15.75" thickBot="1" x14ac:dyDescent="0.3">
      <c r="A45" s="102" t="s">
        <v>189</v>
      </c>
      <c r="B45" s="18"/>
      <c r="C45" s="104"/>
      <c r="D45" s="18"/>
      <c r="E45" s="104"/>
      <c r="F45" s="18"/>
      <c r="G45" s="104"/>
      <c r="H45" s="18"/>
      <c r="I45" s="104"/>
      <c r="J45" s="18"/>
      <c r="K45" s="104"/>
      <c r="L45" s="18">
        <f t="shared" si="2"/>
        <v>0</v>
      </c>
      <c r="P45" s="112">
        <v>4.9000000000000004</v>
      </c>
      <c r="Q45" s="19" t="s">
        <v>131</v>
      </c>
      <c r="R45" s="111">
        <f t="shared" si="3"/>
        <v>2.4500000000000002</v>
      </c>
      <c r="T45">
        <f t="shared" si="4"/>
        <v>2.4500000000000002</v>
      </c>
    </row>
    <row r="46" spans="1:20" ht="15.75" thickBot="1" x14ac:dyDescent="0.3">
      <c r="A46" s="102" t="s">
        <v>190</v>
      </c>
      <c r="B46" s="18"/>
      <c r="C46" s="104"/>
      <c r="D46" s="18"/>
      <c r="E46" s="104"/>
      <c r="F46" s="18"/>
      <c r="G46" s="104"/>
      <c r="H46" s="18"/>
      <c r="I46" s="104"/>
      <c r="J46" s="18"/>
      <c r="K46" s="104"/>
      <c r="L46" s="18">
        <f t="shared" si="2"/>
        <v>0</v>
      </c>
      <c r="P46" s="112">
        <v>4.2</v>
      </c>
      <c r="Q46" s="19" t="s">
        <v>227</v>
      </c>
      <c r="R46" s="111">
        <f t="shared" si="3"/>
        <v>2.1</v>
      </c>
      <c r="T46">
        <f t="shared" si="4"/>
        <v>2.1</v>
      </c>
    </row>
    <row r="47" spans="1:20" ht="15.75" thickBot="1" x14ac:dyDescent="0.3">
      <c r="A47" s="102" t="s">
        <v>227</v>
      </c>
      <c r="B47" s="18"/>
      <c r="C47" s="104"/>
      <c r="D47" s="18"/>
      <c r="E47" s="104"/>
      <c r="F47" s="18"/>
      <c r="G47" s="104"/>
      <c r="H47" s="18"/>
      <c r="I47" s="104"/>
      <c r="J47" s="18"/>
      <c r="K47" s="104"/>
      <c r="L47" s="18">
        <f t="shared" si="2"/>
        <v>0</v>
      </c>
      <c r="P47" s="112">
        <v>4.2</v>
      </c>
      <c r="Q47" s="19" t="s">
        <v>67</v>
      </c>
      <c r="R47" s="111">
        <f t="shared" si="3"/>
        <v>2.1</v>
      </c>
      <c r="T47">
        <f t="shared" si="4"/>
        <v>2.1</v>
      </c>
    </row>
    <row r="48" spans="1:20" ht="15.75" thickBot="1" x14ac:dyDescent="0.3">
      <c r="A48" s="102" t="s">
        <v>187</v>
      </c>
      <c r="B48" s="18"/>
      <c r="C48" s="104"/>
      <c r="D48" s="18"/>
      <c r="E48" s="104"/>
      <c r="F48" s="18"/>
      <c r="G48" s="104"/>
      <c r="H48" s="18"/>
      <c r="I48" s="104"/>
      <c r="J48" s="18"/>
      <c r="K48" s="104"/>
      <c r="L48" s="18">
        <f t="shared" si="2"/>
        <v>0</v>
      </c>
      <c r="P48" s="112">
        <v>4.2</v>
      </c>
      <c r="Q48" s="19" t="s">
        <v>323</v>
      </c>
      <c r="R48" s="111">
        <f t="shared" si="3"/>
        <v>2.1</v>
      </c>
      <c r="T48">
        <f t="shared" si="4"/>
        <v>2.1</v>
      </c>
    </row>
    <row r="49" spans="1:20" ht="15.75" thickBot="1" x14ac:dyDescent="0.3">
      <c r="A49" s="102" t="s">
        <v>252</v>
      </c>
      <c r="B49" s="18"/>
      <c r="C49" s="104"/>
      <c r="D49" s="18"/>
      <c r="E49" s="104"/>
      <c r="F49" s="18"/>
      <c r="G49" s="104"/>
      <c r="H49" s="18"/>
      <c r="I49" s="104"/>
      <c r="J49" s="18"/>
      <c r="K49" s="104"/>
      <c r="L49" s="18">
        <f t="shared" si="2"/>
        <v>0</v>
      </c>
      <c r="P49" s="112">
        <v>4.2</v>
      </c>
      <c r="Q49" s="19" t="s">
        <v>324</v>
      </c>
      <c r="R49" s="111">
        <f t="shared" si="3"/>
        <v>2.1</v>
      </c>
      <c r="T49">
        <f t="shared" si="4"/>
        <v>2.1</v>
      </c>
    </row>
    <row r="50" spans="1:20" ht="15.75" thickBot="1" x14ac:dyDescent="0.3">
      <c r="A50" s="102" t="s">
        <v>253</v>
      </c>
      <c r="B50" s="18"/>
      <c r="C50" s="104"/>
      <c r="D50" s="18"/>
      <c r="E50" s="104"/>
      <c r="F50" s="18"/>
      <c r="G50" s="104"/>
      <c r="H50" s="18"/>
      <c r="I50" s="104"/>
      <c r="J50" s="18"/>
      <c r="K50" s="104"/>
      <c r="L50" s="18">
        <f t="shared" si="2"/>
        <v>0</v>
      </c>
      <c r="P50" s="112">
        <v>2.8</v>
      </c>
      <c r="Q50" s="19" t="s">
        <v>147</v>
      </c>
      <c r="R50" s="111">
        <f t="shared" si="3"/>
        <v>1.4</v>
      </c>
      <c r="T50">
        <f t="shared" si="4"/>
        <v>1.4</v>
      </c>
    </row>
    <row r="51" spans="1:20" ht="15.75" thickBot="1" x14ac:dyDescent="0.3">
      <c r="A51" s="102" t="s">
        <v>254</v>
      </c>
      <c r="B51" s="18"/>
      <c r="C51" s="104"/>
      <c r="D51" s="18"/>
      <c r="E51" s="104"/>
      <c r="F51" s="18"/>
      <c r="G51" s="104"/>
      <c r="H51" s="18"/>
      <c r="I51" s="104"/>
      <c r="J51" s="18"/>
      <c r="K51" s="104"/>
      <c r="L51" s="18">
        <f t="shared" si="2"/>
        <v>0</v>
      </c>
      <c r="P51" s="112">
        <v>2.8</v>
      </c>
      <c r="Q51" s="19" t="s">
        <v>182</v>
      </c>
      <c r="R51" s="111">
        <f t="shared" si="3"/>
        <v>1.4</v>
      </c>
      <c r="T51">
        <f t="shared" si="4"/>
        <v>1.4</v>
      </c>
    </row>
    <row r="52" spans="1:20" ht="15.75" thickBot="1" x14ac:dyDescent="0.3">
      <c r="A52" s="102" t="s">
        <v>255</v>
      </c>
      <c r="B52" s="18"/>
      <c r="C52" s="104"/>
      <c r="D52" s="18"/>
      <c r="E52" s="104"/>
      <c r="F52" s="18"/>
      <c r="G52" s="104"/>
      <c r="H52" s="18"/>
      <c r="I52" s="104"/>
      <c r="J52" s="18"/>
      <c r="K52" s="104">
        <v>1</v>
      </c>
      <c r="L52" s="18">
        <f t="shared" si="2"/>
        <v>1</v>
      </c>
      <c r="P52" s="112">
        <v>2.8</v>
      </c>
      <c r="Q52" s="19" t="s">
        <v>68</v>
      </c>
      <c r="R52" s="111">
        <f t="shared" si="3"/>
        <v>1.4</v>
      </c>
      <c r="T52">
        <f t="shared" si="4"/>
        <v>1.4</v>
      </c>
    </row>
    <row r="53" spans="1:20" ht="15.75" thickBot="1" x14ac:dyDescent="0.3">
      <c r="A53" s="102" t="s">
        <v>256</v>
      </c>
      <c r="B53" s="18"/>
      <c r="C53" s="104"/>
      <c r="D53" s="18"/>
      <c r="E53" s="104"/>
      <c r="F53" s="18"/>
      <c r="G53" s="104"/>
      <c r="H53" s="18"/>
      <c r="I53" s="104"/>
      <c r="J53" s="18"/>
      <c r="K53" s="104"/>
      <c r="L53" s="18">
        <f t="shared" si="2"/>
        <v>0</v>
      </c>
      <c r="P53" s="112">
        <v>2.1</v>
      </c>
      <c r="Q53" s="19" t="s">
        <v>129</v>
      </c>
      <c r="R53" s="111">
        <f t="shared" si="3"/>
        <v>1.05</v>
      </c>
      <c r="T53">
        <f t="shared" si="4"/>
        <v>1.05</v>
      </c>
    </row>
    <row r="54" spans="1:20" ht="15.75" thickBot="1" x14ac:dyDescent="0.3">
      <c r="A54" s="102" t="s">
        <v>257</v>
      </c>
      <c r="B54" s="18"/>
      <c r="C54" s="104"/>
      <c r="D54" s="18"/>
      <c r="E54" s="104"/>
      <c r="F54" s="18"/>
      <c r="G54" s="104"/>
      <c r="H54" s="18"/>
      <c r="I54" s="104"/>
      <c r="J54" s="18"/>
      <c r="K54" s="104"/>
      <c r="L54" s="18">
        <f t="shared" si="2"/>
        <v>0</v>
      </c>
      <c r="P54" s="112">
        <v>2.1</v>
      </c>
      <c r="Q54" s="19" t="s">
        <v>325</v>
      </c>
      <c r="R54" s="111">
        <f t="shared" si="3"/>
        <v>1.05</v>
      </c>
      <c r="T54">
        <f t="shared" si="4"/>
        <v>1.05</v>
      </c>
    </row>
    <row r="55" spans="1:20" ht="15.75" thickBot="1" x14ac:dyDescent="0.3">
      <c r="A55" s="102" t="s">
        <v>271</v>
      </c>
      <c r="B55" s="18"/>
      <c r="C55" s="104"/>
      <c r="D55" s="18"/>
      <c r="E55" s="104"/>
      <c r="F55" s="18"/>
      <c r="G55" s="104"/>
      <c r="H55" s="18"/>
      <c r="I55" s="104"/>
      <c r="J55" s="18"/>
      <c r="K55" s="104"/>
      <c r="L55" s="18">
        <f t="shared" si="2"/>
        <v>0</v>
      </c>
      <c r="P55" s="112">
        <v>1.4</v>
      </c>
      <c r="Q55" s="19" t="s">
        <v>142</v>
      </c>
      <c r="R55" s="111">
        <f t="shared" si="3"/>
        <v>0.7</v>
      </c>
      <c r="T55">
        <f t="shared" si="4"/>
        <v>0.7</v>
      </c>
    </row>
    <row r="56" spans="1:20" ht="15.75" thickBot="1" x14ac:dyDescent="0.3">
      <c r="A56" s="102" t="s">
        <v>264</v>
      </c>
      <c r="B56" s="18"/>
      <c r="C56" s="104"/>
      <c r="D56" s="18"/>
      <c r="E56" s="104"/>
      <c r="F56" s="18"/>
      <c r="G56" s="104"/>
      <c r="H56" s="18"/>
      <c r="I56" s="104"/>
      <c r="J56" s="18"/>
      <c r="K56" s="104"/>
      <c r="L56" s="18">
        <f t="shared" si="2"/>
        <v>0</v>
      </c>
      <c r="P56" s="112">
        <v>0.7</v>
      </c>
      <c r="Q56" s="119" t="s">
        <v>23</v>
      </c>
      <c r="R56" s="111">
        <f t="shared" si="3"/>
        <v>0.35</v>
      </c>
      <c r="T56">
        <f t="shared" si="4"/>
        <v>0.35</v>
      </c>
    </row>
    <row r="57" spans="1:20" ht="15.75" thickBot="1" x14ac:dyDescent="0.3">
      <c r="A57" s="102" t="s">
        <v>265</v>
      </c>
      <c r="B57" s="18"/>
      <c r="C57" s="104"/>
      <c r="D57" s="18"/>
      <c r="E57" s="104"/>
      <c r="F57" s="18"/>
      <c r="G57" s="104"/>
      <c r="H57" s="18"/>
      <c r="I57" s="104">
        <v>1</v>
      </c>
      <c r="J57" s="18">
        <v>2</v>
      </c>
      <c r="K57" s="104">
        <v>1</v>
      </c>
      <c r="L57" s="18">
        <f t="shared" si="2"/>
        <v>4</v>
      </c>
      <c r="P57" s="112">
        <v>0.7</v>
      </c>
      <c r="Q57" s="19" t="s">
        <v>128</v>
      </c>
      <c r="R57" s="111">
        <f t="shared" si="3"/>
        <v>0.35</v>
      </c>
      <c r="T57">
        <f t="shared" si="4"/>
        <v>0.35</v>
      </c>
    </row>
    <row r="58" spans="1:20" ht="15.75" thickBot="1" x14ac:dyDescent="0.3">
      <c r="A58" s="102" t="s">
        <v>266</v>
      </c>
      <c r="B58" s="18"/>
      <c r="C58" s="104"/>
      <c r="D58" s="18"/>
      <c r="E58" s="104"/>
      <c r="F58" s="18"/>
      <c r="G58" s="104"/>
      <c r="H58" s="18"/>
      <c r="I58" s="104"/>
      <c r="J58" s="18"/>
      <c r="K58" s="104"/>
      <c r="L58" s="18">
        <f t="shared" si="2"/>
        <v>0</v>
      </c>
      <c r="P58" s="112">
        <v>0.7</v>
      </c>
      <c r="Q58" s="19" t="s">
        <v>171</v>
      </c>
      <c r="R58" s="111">
        <f t="shared" si="3"/>
        <v>0.35</v>
      </c>
      <c r="T58">
        <f t="shared" si="4"/>
        <v>0.35</v>
      </c>
    </row>
    <row r="59" spans="1:20" ht="15.75" thickBot="1" x14ac:dyDescent="0.3">
      <c r="A59" s="102" t="s">
        <v>267</v>
      </c>
      <c r="B59" s="18"/>
      <c r="C59" s="104"/>
      <c r="D59" s="18"/>
      <c r="E59" s="104"/>
      <c r="F59" s="18"/>
      <c r="G59" s="104"/>
      <c r="H59" s="18"/>
      <c r="I59" s="104"/>
      <c r="J59" s="18"/>
      <c r="K59" s="104"/>
      <c r="L59" s="18">
        <f t="shared" si="2"/>
        <v>0</v>
      </c>
      <c r="P59" s="112">
        <v>0.7</v>
      </c>
      <c r="Q59" s="19" t="s">
        <v>256</v>
      </c>
      <c r="R59" s="111">
        <f t="shared" si="3"/>
        <v>0.35</v>
      </c>
      <c r="T59">
        <f t="shared" si="4"/>
        <v>0.35</v>
      </c>
    </row>
    <row r="60" spans="1:20" ht="15.75" thickBot="1" x14ac:dyDescent="0.3">
      <c r="A60" s="102" t="s">
        <v>268</v>
      </c>
      <c r="B60" s="18"/>
      <c r="C60" s="104"/>
      <c r="D60" s="18"/>
      <c r="E60" s="104"/>
      <c r="F60" s="18"/>
      <c r="G60" s="104"/>
      <c r="H60" s="18"/>
      <c r="I60" s="104"/>
      <c r="J60" s="18"/>
      <c r="K60" s="104"/>
      <c r="L60" s="18">
        <f t="shared" si="2"/>
        <v>0</v>
      </c>
      <c r="P60" s="112">
        <v>0.7</v>
      </c>
      <c r="Q60" s="19" t="s">
        <v>326</v>
      </c>
      <c r="R60" s="111">
        <f t="shared" si="3"/>
        <v>0.35</v>
      </c>
      <c r="T60">
        <f t="shared" si="4"/>
        <v>0.35</v>
      </c>
    </row>
    <row r="61" spans="1:20" ht="15.75" thickBot="1" x14ac:dyDescent="0.3">
      <c r="A61" s="102" t="s">
        <v>270</v>
      </c>
      <c r="B61" s="18"/>
      <c r="C61" s="104"/>
      <c r="D61" s="18"/>
      <c r="E61" s="104"/>
      <c r="F61" s="18"/>
      <c r="G61" s="104"/>
      <c r="H61" s="18"/>
      <c r="I61" s="104"/>
      <c r="J61" s="18"/>
      <c r="K61" s="104"/>
      <c r="L61" s="18">
        <f t="shared" si="2"/>
        <v>0</v>
      </c>
      <c r="P61" s="112">
        <v>0.7</v>
      </c>
      <c r="Q61" s="19" t="s">
        <v>327</v>
      </c>
      <c r="R61" s="111">
        <f t="shared" si="3"/>
        <v>0.35</v>
      </c>
      <c r="T61">
        <f t="shared" si="4"/>
        <v>0.35</v>
      </c>
    </row>
    <row r="62" spans="1:20" ht="15.75" thickBot="1" x14ac:dyDescent="0.3">
      <c r="A62" s="102" t="s">
        <v>290</v>
      </c>
      <c r="B62" s="18"/>
      <c r="C62" s="104"/>
      <c r="D62" s="18"/>
      <c r="E62" s="104"/>
      <c r="F62" s="18"/>
      <c r="G62" s="104"/>
      <c r="H62" s="18"/>
      <c r="I62" s="104"/>
      <c r="J62" s="18"/>
      <c r="K62" s="104"/>
      <c r="L62" s="18">
        <f t="shared" si="2"/>
        <v>0</v>
      </c>
      <c r="P62" s="112">
        <v>0.7</v>
      </c>
      <c r="Q62" s="19" t="s">
        <v>330</v>
      </c>
      <c r="R62" s="111">
        <f t="shared" si="3"/>
        <v>0.35</v>
      </c>
      <c r="T62">
        <f t="shared" si="4"/>
        <v>0.35</v>
      </c>
    </row>
    <row r="63" spans="1:20" ht="15.75" thickBot="1" x14ac:dyDescent="0.3">
      <c r="A63" s="102" t="s">
        <v>287</v>
      </c>
      <c r="B63" s="18"/>
      <c r="C63" s="104"/>
      <c r="D63" s="18"/>
      <c r="E63" s="104"/>
      <c r="F63" s="18"/>
      <c r="G63" s="104"/>
      <c r="H63" s="18"/>
      <c r="I63" s="104"/>
      <c r="J63" s="18"/>
      <c r="K63" s="104"/>
      <c r="L63" s="18">
        <f t="shared" si="2"/>
        <v>0</v>
      </c>
      <c r="P63" s="112">
        <v>0</v>
      </c>
      <c r="Q63" s="14" t="s">
        <v>13</v>
      </c>
      <c r="R63" s="111">
        <f t="shared" si="3"/>
        <v>0</v>
      </c>
      <c r="T63">
        <f t="shared" si="4"/>
        <v>0</v>
      </c>
    </row>
    <row r="64" spans="1:20" ht="15.75" thickBot="1" x14ac:dyDescent="0.3">
      <c r="A64" s="102" t="s">
        <v>298</v>
      </c>
      <c r="B64" s="18"/>
      <c r="C64" s="104"/>
      <c r="D64" s="18"/>
      <c r="E64" s="104"/>
      <c r="F64" s="18"/>
      <c r="G64" s="104"/>
      <c r="H64" s="18"/>
      <c r="I64" s="104"/>
      <c r="J64" s="18"/>
      <c r="K64" s="104"/>
      <c r="L64" s="18">
        <f t="shared" si="2"/>
        <v>0</v>
      </c>
      <c r="P64" s="112">
        <v>0</v>
      </c>
      <c r="Q64" s="14" t="s">
        <v>14</v>
      </c>
      <c r="R64" s="111">
        <f t="shared" si="3"/>
        <v>0</v>
      </c>
      <c r="T64">
        <f t="shared" si="4"/>
        <v>0</v>
      </c>
    </row>
    <row r="65" spans="1:20" ht="15.75" thickBot="1" x14ac:dyDescent="0.3">
      <c r="A65" s="113" t="s">
        <v>315</v>
      </c>
      <c r="B65" s="35"/>
      <c r="C65" s="114"/>
      <c r="D65" s="35"/>
      <c r="E65" s="114"/>
      <c r="F65" s="35"/>
      <c r="G65" s="114"/>
      <c r="H65" s="35"/>
      <c r="I65" s="114"/>
      <c r="J65" s="35"/>
      <c r="K65" s="114"/>
      <c r="L65" s="18">
        <f t="shared" si="2"/>
        <v>0</v>
      </c>
      <c r="P65" s="112">
        <v>0</v>
      </c>
      <c r="Q65" s="120" t="s">
        <v>15</v>
      </c>
      <c r="R65" s="111">
        <f t="shared" si="3"/>
        <v>0</v>
      </c>
      <c r="T65">
        <f t="shared" si="4"/>
        <v>0</v>
      </c>
    </row>
    <row r="66" spans="1:20" ht="15.75" thickBot="1" x14ac:dyDescent="0.3">
      <c r="A66" s="113" t="s">
        <v>316</v>
      </c>
      <c r="B66" s="35"/>
      <c r="C66" s="114"/>
      <c r="D66" s="35"/>
      <c r="E66" s="114"/>
      <c r="F66" s="35"/>
      <c r="G66" s="114"/>
      <c r="H66" s="35"/>
      <c r="I66" s="114"/>
      <c r="J66" s="35"/>
      <c r="K66" s="114"/>
      <c r="L66" s="18">
        <f t="shared" si="2"/>
        <v>0</v>
      </c>
      <c r="P66" s="112">
        <v>0</v>
      </c>
      <c r="Q66" s="116" t="s">
        <v>17</v>
      </c>
      <c r="R66" s="111">
        <f t="shared" ref="R66:R95" si="5">P66*0.5</f>
        <v>0</v>
      </c>
      <c r="T66">
        <f t="shared" ref="T66:T95" si="6">S66+R66</f>
        <v>0</v>
      </c>
    </row>
    <row r="67" spans="1:20" ht="15.75" thickBot="1" x14ac:dyDescent="0.3">
      <c r="A67" s="113" t="s">
        <v>67</v>
      </c>
      <c r="B67" s="35"/>
      <c r="C67" s="114"/>
      <c r="D67" s="35"/>
      <c r="E67" s="114"/>
      <c r="F67" s="35"/>
      <c r="G67" s="114"/>
      <c r="H67" s="35"/>
      <c r="I67" s="114"/>
      <c r="J67" s="35"/>
      <c r="K67" s="114"/>
      <c r="L67" s="18">
        <f t="shared" ref="L67:L75" si="7">SUM(B67:K67)</f>
        <v>0</v>
      </c>
      <c r="P67" s="112">
        <v>0</v>
      </c>
      <c r="Q67" s="118" t="s">
        <v>21</v>
      </c>
      <c r="R67" s="111">
        <f t="shared" si="5"/>
        <v>0</v>
      </c>
      <c r="T67">
        <f t="shared" si="6"/>
        <v>0</v>
      </c>
    </row>
    <row r="68" spans="1:20" ht="15.75" thickBot="1" x14ac:dyDescent="0.3">
      <c r="A68" s="113" t="s">
        <v>68</v>
      </c>
      <c r="B68" s="35"/>
      <c r="C68" s="114"/>
      <c r="D68" s="35"/>
      <c r="E68" s="114"/>
      <c r="F68" s="35"/>
      <c r="G68" s="114"/>
      <c r="H68" s="35"/>
      <c r="I68" s="114"/>
      <c r="J68" s="35"/>
      <c r="K68" s="114"/>
      <c r="L68" s="18">
        <f t="shared" si="7"/>
        <v>0</v>
      </c>
      <c r="P68" s="112">
        <v>0</v>
      </c>
      <c r="Q68" s="117" t="s">
        <v>34</v>
      </c>
      <c r="R68" s="111">
        <f t="shared" si="5"/>
        <v>0</v>
      </c>
      <c r="T68">
        <f t="shared" si="6"/>
        <v>0</v>
      </c>
    </row>
    <row r="69" spans="1:20" ht="15.75" thickBot="1" x14ac:dyDescent="0.3">
      <c r="A69" s="113" t="s">
        <v>323</v>
      </c>
      <c r="B69" s="35"/>
      <c r="C69" s="114"/>
      <c r="D69" s="35"/>
      <c r="E69" s="114"/>
      <c r="F69" s="35"/>
      <c r="G69" s="114"/>
      <c r="H69" s="35"/>
      <c r="I69" s="114"/>
      <c r="J69" s="35"/>
      <c r="K69" s="114"/>
      <c r="L69" s="18">
        <f t="shared" si="7"/>
        <v>0</v>
      </c>
      <c r="P69" s="112">
        <v>0</v>
      </c>
      <c r="Q69" s="14" t="s">
        <v>38</v>
      </c>
      <c r="R69" s="111">
        <f t="shared" si="5"/>
        <v>0</v>
      </c>
      <c r="T69">
        <f t="shared" si="6"/>
        <v>0</v>
      </c>
    </row>
    <row r="70" spans="1:20" ht="15.75" thickBot="1" x14ac:dyDescent="0.3">
      <c r="A70" s="113" t="s">
        <v>324</v>
      </c>
      <c r="B70" s="35"/>
      <c r="C70" s="114"/>
      <c r="D70" s="35"/>
      <c r="E70" s="114"/>
      <c r="F70" s="35"/>
      <c r="G70" s="114"/>
      <c r="H70" s="35"/>
      <c r="I70" s="114"/>
      <c r="J70" s="35"/>
      <c r="K70" s="114"/>
      <c r="L70" s="18">
        <f t="shared" si="7"/>
        <v>0</v>
      </c>
      <c r="P70" s="112">
        <v>0</v>
      </c>
      <c r="Q70" s="14" t="s">
        <v>40</v>
      </c>
      <c r="R70" s="111">
        <f t="shared" si="5"/>
        <v>0</v>
      </c>
      <c r="T70">
        <f t="shared" si="6"/>
        <v>0</v>
      </c>
    </row>
    <row r="71" spans="1:20" ht="15.75" thickBot="1" x14ac:dyDescent="0.3">
      <c r="A71" s="113" t="s">
        <v>325</v>
      </c>
      <c r="B71" s="35"/>
      <c r="C71" s="114"/>
      <c r="D71" s="35"/>
      <c r="E71" s="114"/>
      <c r="F71" s="35"/>
      <c r="G71" s="114"/>
      <c r="H71" s="35"/>
      <c r="I71" s="114"/>
      <c r="J71" s="35"/>
      <c r="K71" s="114"/>
      <c r="L71" s="18">
        <f t="shared" si="7"/>
        <v>0</v>
      </c>
      <c r="P71" s="112">
        <v>0</v>
      </c>
      <c r="Q71" s="14" t="s">
        <v>63</v>
      </c>
      <c r="R71" s="111">
        <f t="shared" si="5"/>
        <v>0</v>
      </c>
      <c r="T71">
        <f t="shared" si="6"/>
        <v>0</v>
      </c>
    </row>
    <row r="72" spans="1:20" ht="15.75" thickBot="1" x14ac:dyDescent="0.3">
      <c r="A72" s="113" t="s">
        <v>326</v>
      </c>
      <c r="B72" s="35"/>
      <c r="C72" s="114"/>
      <c r="D72" s="35"/>
      <c r="E72" s="114"/>
      <c r="F72" s="35"/>
      <c r="G72" s="114"/>
      <c r="H72" s="35"/>
      <c r="I72" s="114"/>
      <c r="J72" s="35"/>
      <c r="K72" s="114"/>
      <c r="L72" s="18">
        <f t="shared" si="7"/>
        <v>0</v>
      </c>
      <c r="P72" s="112">
        <v>0</v>
      </c>
      <c r="Q72" s="14" t="s">
        <v>69</v>
      </c>
      <c r="R72" s="111">
        <f t="shared" si="5"/>
        <v>0</v>
      </c>
      <c r="T72">
        <f t="shared" si="6"/>
        <v>0</v>
      </c>
    </row>
    <row r="73" spans="1:20" ht="15.75" thickBot="1" x14ac:dyDescent="0.3">
      <c r="A73" s="113" t="s">
        <v>327</v>
      </c>
      <c r="B73" s="35"/>
      <c r="C73" s="114"/>
      <c r="D73" s="35"/>
      <c r="E73" s="114"/>
      <c r="F73" s="35"/>
      <c r="G73" s="114"/>
      <c r="H73" s="35"/>
      <c r="I73" s="114"/>
      <c r="J73" s="35"/>
      <c r="K73" s="114"/>
      <c r="L73" s="18">
        <f t="shared" si="7"/>
        <v>0</v>
      </c>
      <c r="P73" s="112">
        <v>0</v>
      </c>
      <c r="Q73" s="14" t="s">
        <v>70</v>
      </c>
      <c r="R73" s="111">
        <f t="shared" si="5"/>
        <v>0</v>
      </c>
      <c r="T73">
        <f t="shared" si="6"/>
        <v>0</v>
      </c>
    </row>
    <row r="74" spans="1:20" ht="15.75" thickBot="1" x14ac:dyDescent="0.3">
      <c r="A74" s="113" t="s">
        <v>330</v>
      </c>
      <c r="B74" s="35"/>
      <c r="C74" s="114"/>
      <c r="D74" s="35"/>
      <c r="E74" s="114"/>
      <c r="F74" s="35"/>
      <c r="G74" s="114"/>
      <c r="H74" s="35"/>
      <c r="I74" s="114"/>
      <c r="J74" s="35"/>
      <c r="K74" s="114"/>
      <c r="L74" s="18">
        <f t="shared" si="7"/>
        <v>0</v>
      </c>
      <c r="P74" s="112">
        <v>0</v>
      </c>
      <c r="Q74" s="14" t="s">
        <v>107</v>
      </c>
      <c r="R74" s="111">
        <f t="shared" si="5"/>
        <v>0</v>
      </c>
      <c r="T74">
        <f t="shared" si="6"/>
        <v>0</v>
      </c>
    </row>
    <row r="75" spans="1:20" ht="15.75" thickBot="1" x14ac:dyDescent="0.3">
      <c r="A75" s="113" t="s">
        <v>331</v>
      </c>
      <c r="B75" s="35"/>
      <c r="C75" s="114"/>
      <c r="D75" s="35"/>
      <c r="E75" s="114"/>
      <c r="F75" s="35"/>
      <c r="G75" s="114"/>
      <c r="H75" s="35"/>
      <c r="I75" s="114"/>
      <c r="J75" s="35"/>
      <c r="K75" s="114"/>
      <c r="L75" s="18">
        <f t="shared" si="7"/>
        <v>0</v>
      </c>
      <c r="P75" s="112">
        <v>0</v>
      </c>
      <c r="Q75" s="19" t="s">
        <v>108</v>
      </c>
      <c r="R75" s="111">
        <f t="shared" si="5"/>
        <v>0</v>
      </c>
      <c r="T75">
        <f t="shared" si="6"/>
        <v>0</v>
      </c>
    </row>
    <row r="76" spans="1:20" ht="15.75" thickBot="1" x14ac:dyDescent="0.3">
      <c r="P76" s="112">
        <v>0</v>
      </c>
      <c r="Q76" s="19" t="s">
        <v>183</v>
      </c>
      <c r="R76" s="111">
        <f t="shared" si="5"/>
        <v>0</v>
      </c>
      <c r="T76">
        <f t="shared" si="6"/>
        <v>0</v>
      </c>
    </row>
    <row r="77" spans="1:20" ht="15.75" thickBot="1" x14ac:dyDescent="0.3">
      <c r="P77" s="112">
        <v>0</v>
      </c>
      <c r="Q77" s="19" t="s">
        <v>125</v>
      </c>
      <c r="R77" s="111">
        <f t="shared" si="5"/>
        <v>0</v>
      </c>
      <c r="T77">
        <f t="shared" si="6"/>
        <v>0</v>
      </c>
    </row>
    <row r="78" spans="1:20" ht="15.75" thickBot="1" x14ac:dyDescent="0.3">
      <c r="P78" s="112">
        <v>0</v>
      </c>
      <c r="Q78" s="19" t="s">
        <v>130</v>
      </c>
      <c r="R78" s="111">
        <f t="shared" si="5"/>
        <v>0</v>
      </c>
      <c r="T78">
        <f t="shared" si="6"/>
        <v>0</v>
      </c>
    </row>
    <row r="79" spans="1:20" ht="15.75" thickBot="1" x14ac:dyDescent="0.3">
      <c r="P79" s="112">
        <v>0</v>
      </c>
      <c r="Q79" s="19" t="s">
        <v>146</v>
      </c>
      <c r="R79" s="111">
        <f t="shared" si="5"/>
        <v>0</v>
      </c>
      <c r="T79">
        <f t="shared" si="6"/>
        <v>0</v>
      </c>
    </row>
    <row r="80" spans="1:20" ht="15.75" thickBot="1" x14ac:dyDescent="0.3">
      <c r="P80" s="112">
        <v>0</v>
      </c>
      <c r="Q80" s="19" t="s">
        <v>148</v>
      </c>
      <c r="R80" s="111">
        <f t="shared" si="5"/>
        <v>0</v>
      </c>
      <c r="T80">
        <f t="shared" si="6"/>
        <v>0</v>
      </c>
    </row>
    <row r="81" spans="16:20" ht="15.75" thickBot="1" x14ac:dyDescent="0.3">
      <c r="P81" s="112">
        <v>0</v>
      </c>
      <c r="Q81" s="19" t="s">
        <v>163</v>
      </c>
      <c r="R81" s="111">
        <f t="shared" si="5"/>
        <v>0</v>
      </c>
      <c r="T81">
        <f t="shared" si="6"/>
        <v>0</v>
      </c>
    </row>
    <row r="82" spans="16:20" ht="15.75" thickBot="1" x14ac:dyDescent="0.3">
      <c r="P82" s="112">
        <v>0</v>
      </c>
      <c r="Q82" s="19" t="s">
        <v>162</v>
      </c>
      <c r="R82" s="111">
        <f t="shared" si="5"/>
        <v>0</v>
      </c>
      <c r="T82">
        <f t="shared" si="6"/>
        <v>0</v>
      </c>
    </row>
    <row r="83" spans="16:20" ht="15.75" thickBot="1" x14ac:dyDescent="0.3">
      <c r="P83" s="112">
        <v>0</v>
      </c>
      <c r="Q83" s="19" t="s">
        <v>159</v>
      </c>
      <c r="R83" s="111">
        <f t="shared" si="5"/>
        <v>0</v>
      </c>
      <c r="T83">
        <f t="shared" si="6"/>
        <v>0</v>
      </c>
    </row>
    <row r="84" spans="16:20" ht="15.75" thickBot="1" x14ac:dyDescent="0.3">
      <c r="P84" s="112">
        <v>0</v>
      </c>
      <c r="Q84" s="19" t="s">
        <v>166</v>
      </c>
      <c r="R84" s="111">
        <f t="shared" si="5"/>
        <v>0</v>
      </c>
      <c r="T84">
        <f t="shared" si="6"/>
        <v>0</v>
      </c>
    </row>
    <row r="85" spans="16:20" ht="15.75" thickBot="1" x14ac:dyDescent="0.3">
      <c r="P85" s="112">
        <v>0</v>
      </c>
      <c r="Q85" s="19" t="s">
        <v>167</v>
      </c>
      <c r="R85" s="111">
        <f t="shared" si="5"/>
        <v>0</v>
      </c>
      <c r="T85">
        <f t="shared" si="6"/>
        <v>0</v>
      </c>
    </row>
    <row r="86" spans="16:20" ht="15.75" thickBot="1" x14ac:dyDescent="0.3">
      <c r="P86" s="112">
        <v>0</v>
      </c>
      <c r="Q86" s="19" t="s">
        <v>180</v>
      </c>
      <c r="R86" s="111">
        <f t="shared" si="5"/>
        <v>0</v>
      </c>
      <c r="T86">
        <f t="shared" si="6"/>
        <v>0</v>
      </c>
    </row>
    <row r="87" spans="16:20" ht="15.75" thickBot="1" x14ac:dyDescent="0.3">
      <c r="P87" s="112">
        <v>0</v>
      </c>
      <c r="Q87" s="19" t="s">
        <v>181</v>
      </c>
      <c r="R87" s="111">
        <f t="shared" si="5"/>
        <v>0</v>
      </c>
      <c r="T87">
        <f t="shared" si="6"/>
        <v>0</v>
      </c>
    </row>
    <row r="88" spans="16:20" ht="15.75" thickBot="1" x14ac:dyDescent="0.3">
      <c r="P88" s="112">
        <v>0</v>
      </c>
      <c r="Q88" s="19" t="s">
        <v>188</v>
      </c>
      <c r="R88" s="111">
        <f t="shared" si="5"/>
        <v>0</v>
      </c>
      <c r="T88">
        <f t="shared" si="6"/>
        <v>0</v>
      </c>
    </row>
    <row r="89" spans="16:20" ht="15.75" thickBot="1" x14ac:dyDescent="0.3">
      <c r="P89" s="112">
        <v>0</v>
      </c>
      <c r="Q89" s="19" t="s">
        <v>189</v>
      </c>
      <c r="R89" s="111">
        <f t="shared" si="5"/>
        <v>0</v>
      </c>
      <c r="T89">
        <f t="shared" si="6"/>
        <v>0</v>
      </c>
    </row>
    <row r="90" spans="16:20" ht="15.75" thickBot="1" x14ac:dyDescent="0.3">
      <c r="P90" s="112">
        <v>0</v>
      </c>
      <c r="Q90" s="19" t="s">
        <v>190</v>
      </c>
      <c r="R90" s="111">
        <f t="shared" si="5"/>
        <v>0</v>
      </c>
      <c r="T90">
        <f t="shared" si="6"/>
        <v>0</v>
      </c>
    </row>
    <row r="91" spans="16:20" ht="15.75" thickBot="1" x14ac:dyDescent="0.3">
      <c r="P91" s="112">
        <v>0</v>
      </c>
      <c r="Q91" s="19" t="s">
        <v>257</v>
      </c>
      <c r="R91" s="111">
        <f t="shared" si="5"/>
        <v>0</v>
      </c>
      <c r="T91">
        <f t="shared" si="6"/>
        <v>0</v>
      </c>
    </row>
    <row r="92" spans="16:20" ht="15.75" thickBot="1" x14ac:dyDescent="0.3">
      <c r="P92" s="112">
        <v>0</v>
      </c>
      <c r="Q92" s="19" t="s">
        <v>267</v>
      </c>
      <c r="R92" s="111">
        <f t="shared" si="5"/>
        <v>0</v>
      </c>
      <c r="T92">
        <f t="shared" si="6"/>
        <v>0</v>
      </c>
    </row>
    <row r="93" spans="16:20" ht="15.75" thickBot="1" x14ac:dyDescent="0.3">
      <c r="P93" s="112">
        <v>0</v>
      </c>
      <c r="Q93" s="19" t="s">
        <v>268</v>
      </c>
      <c r="R93" s="111">
        <f t="shared" si="5"/>
        <v>0</v>
      </c>
      <c r="T93">
        <f t="shared" si="6"/>
        <v>0</v>
      </c>
    </row>
    <row r="94" spans="16:20" ht="15.75" thickBot="1" x14ac:dyDescent="0.3">
      <c r="P94" s="112">
        <v>0</v>
      </c>
      <c r="Q94" s="19" t="s">
        <v>331</v>
      </c>
      <c r="R94" s="111">
        <f t="shared" si="5"/>
        <v>0</v>
      </c>
      <c r="T94">
        <f t="shared" si="6"/>
        <v>0</v>
      </c>
    </row>
    <row r="95" spans="16:20" ht="15.75" thickBot="1" x14ac:dyDescent="0.3">
      <c r="P95" s="112">
        <v>0</v>
      </c>
      <c r="R95" s="111">
        <f t="shared" si="5"/>
        <v>0</v>
      </c>
      <c r="T95">
        <f t="shared" si="6"/>
        <v>0</v>
      </c>
    </row>
  </sheetData>
  <sortState xmlns:xlrd2="http://schemas.microsoft.com/office/spreadsheetml/2017/richdata2" ref="P2:T95">
    <sortCondition descending="1" ref="T2:T95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7D856-7A06-456B-9568-AE5DCD4A5C28}">
  <dimension ref="A1:Q59"/>
  <sheetViews>
    <sheetView zoomScaleNormal="100" workbookViewId="0">
      <selection activeCell="F44" sqref="F44"/>
    </sheetView>
  </sheetViews>
  <sheetFormatPr baseColWidth="10" defaultRowHeight="15" x14ac:dyDescent="0.25"/>
  <cols>
    <col min="1" max="1" width="22.140625" customWidth="1"/>
    <col min="2" max="11" width="19.7109375" customWidth="1"/>
    <col min="14" max="14" width="9.85546875" customWidth="1"/>
    <col min="15" max="15" width="18.5703125" customWidth="1"/>
    <col min="16" max="16" width="15.140625" customWidth="1"/>
    <col min="17" max="17" width="19.7109375" customWidth="1"/>
  </cols>
  <sheetData>
    <row r="1" spans="1:17" s="122" customFormat="1" ht="18.75" x14ac:dyDescent="0.3">
      <c r="B1" s="256" t="s">
        <v>338</v>
      </c>
      <c r="C1" s="257"/>
      <c r="D1" s="123" t="s">
        <v>339</v>
      </c>
      <c r="E1" s="123" t="s">
        <v>340</v>
      </c>
      <c r="F1" s="256" t="s">
        <v>341</v>
      </c>
      <c r="G1" s="257"/>
      <c r="H1" s="123" t="s">
        <v>342</v>
      </c>
      <c r="I1" s="123" t="s">
        <v>343</v>
      </c>
      <c r="J1" s="256" t="s">
        <v>344</v>
      </c>
      <c r="K1" s="257"/>
    </row>
    <row r="2" spans="1:17" s="122" customFormat="1" ht="18.75" x14ac:dyDescent="0.3">
      <c r="B2" s="124" t="s">
        <v>346</v>
      </c>
      <c r="C2" s="124" t="s">
        <v>345</v>
      </c>
      <c r="D2" s="124" t="s">
        <v>347</v>
      </c>
      <c r="E2" s="124" t="s">
        <v>347</v>
      </c>
      <c r="F2" s="124" t="s">
        <v>346</v>
      </c>
      <c r="G2" s="124" t="s">
        <v>345</v>
      </c>
      <c r="H2" s="124" t="s">
        <v>347</v>
      </c>
      <c r="I2" s="124" t="s">
        <v>347</v>
      </c>
      <c r="J2" s="124" t="s">
        <v>346</v>
      </c>
      <c r="K2" s="124" t="s">
        <v>345</v>
      </c>
    </row>
    <row r="3" spans="1:17" s="121" customFormat="1" x14ac:dyDescent="0.25">
      <c r="A3" s="145" t="s">
        <v>5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>
        <v>2</v>
      </c>
    </row>
    <row r="4" spans="1:17" s="121" customFormat="1" x14ac:dyDescent="0.25">
      <c r="A4" s="145" t="s">
        <v>6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>
        <v>2</v>
      </c>
    </row>
    <row r="5" spans="1:17" x14ac:dyDescent="0.25">
      <c r="A5" s="145" t="s">
        <v>18</v>
      </c>
      <c r="B5" s="35"/>
      <c r="C5" s="35">
        <v>1</v>
      </c>
      <c r="D5" s="35">
        <v>1</v>
      </c>
      <c r="E5" s="35"/>
      <c r="F5" s="35"/>
      <c r="G5" s="35">
        <v>1</v>
      </c>
      <c r="H5" s="35"/>
      <c r="I5" s="35">
        <v>1</v>
      </c>
      <c r="J5" s="35"/>
      <c r="K5" s="35"/>
      <c r="L5">
        <v>2</v>
      </c>
    </row>
    <row r="6" spans="1:17" x14ac:dyDescent="0.25">
      <c r="A6" s="145" t="s">
        <v>19</v>
      </c>
      <c r="B6" s="35"/>
      <c r="C6" s="35">
        <v>1</v>
      </c>
      <c r="D6" s="35">
        <v>1</v>
      </c>
      <c r="E6" s="35"/>
      <c r="F6" s="35"/>
      <c r="G6" s="35">
        <v>1</v>
      </c>
      <c r="H6" s="35"/>
      <c r="I6" s="35">
        <v>1</v>
      </c>
      <c r="J6" s="35"/>
      <c r="K6" s="35"/>
      <c r="L6">
        <v>2</v>
      </c>
    </row>
    <row r="7" spans="1:17" x14ac:dyDescent="0.25">
      <c r="A7" s="145" t="s">
        <v>22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>
        <v>2</v>
      </c>
      <c r="M7" s="121"/>
      <c r="N7" s="121"/>
      <c r="O7" s="121"/>
      <c r="P7" s="121"/>
      <c r="Q7" s="121"/>
    </row>
    <row r="8" spans="1:17" x14ac:dyDescent="0.25">
      <c r="A8" s="145" t="s">
        <v>23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>
        <v>2</v>
      </c>
      <c r="M8" s="121"/>
      <c r="N8" s="121"/>
      <c r="O8" s="121"/>
      <c r="P8" s="121"/>
      <c r="Q8" s="121"/>
    </row>
    <row r="9" spans="1:17" s="121" customFormat="1" x14ac:dyDescent="0.25">
      <c r="A9" s="145" t="s">
        <v>36</v>
      </c>
      <c r="B9" s="35"/>
      <c r="C9" s="35"/>
      <c r="D9" s="35">
        <v>1</v>
      </c>
      <c r="E9" s="35"/>
      <c r="F9" s="35"/>
      <c r="G9" s="35">
        <v>1</v>
      </c>
      <c r="H9" s="35"/>
      <c r="I9" s="35">
        <v>1</v>
      </c>
      <c r="J9" s="35"/>
      <c r="K9" s="35"/>
      <c r="L9">
        <v>2</v>
      </c>
      <c r="M9"/>
      <c r="N9"/>
      <c r="O9"/>
      <c r="P9"/>
      <c r="Q9"/>
    </row>
    <row r="10" spans="1:17" s="121" customFormat="1" x14ac:dyDescent="0.25">
      <c r="A10" s="145" t="s">
        <v>35</v>
      </c>
      <c r="B10" s="35"/>
      <c r="C10" s="35"/>
      <c r="D10" s="35">
        <v>1</v>
      </c>
      <c r="E10" s="35"/>
      <c r="F10" s="35"/>
      <c r="G10" s="35">
        <v>1</v>
      </c>
      <c r="H10" s="35"/>
      <c r="I10" s="35">
        <v>1</v>
      </c>
      <c r="J10" s="35"/>
      <c r="K10" s="35"/>
      <c r="L10">
        <v>2</v>
      </c>
      <c r="M10"/>
      <c r="N10"/>
      <c r="O10"/>
      <c r="P10"/>
      <c r="Q10"/>
    </row>
    <row r="11" spans="1:17" x14ac:dyDescent="0.25">
      <c r="A11" s="146" t="s">
        <v>164</v>
      </c>
      <c r="B11" s="35">
        <v>1</v>
      </c>
      <c r="C11" s="35"/>
      <c r="D11" s="35">
        <v>1</v>
      </c>
      <c r="E11" s="35">
        <v>1</v>
      </c>
      <c r="F11" s="35">
        <v>1</v>
      </c>
      <c r="G11" s="35"/>
      <c r="H11" s="35">
        <v>1</v>
      </c>
      <c r="I11" s="35">
        <v>1</v>
      </c>
      <c r="J11" s="35">
        <v>1</v>
      </c>
      <c r="K11" s="35"/>
      <c r="L11" s="147">
        <v>2</v>
      </c>
    </row>
    <row r="12" spans="1:17" x14ac:dyDescent="0.25">
      <c r="A12" s="146" t="s">
        <v>160</v>
      </c>
      <c r="B12" s="35">
        <v>1</v>
      </c>
      <c r="C12" s="35"/>
      <c r="D12" s="35">
        <v>1</v>
      </c>
      <c r="E12" s="35">
        <v>1</v>
      </c>
      <c r="F12" s="35">
        <v>1</v>
      </c>
      <c r="G12" s="35"/>
      <c r="H12" s="35">
        <v>1</v>
      </c>
      <c r="I12" s="35">
        <v>1</v>
      </c>
      <c r="J12" s="35">
        <v>1</v>
      </c>
      <c r="K12" s="35"/>
      <c r="L12" s="148">
        <v>2</v>
      </c>
    </row>
    <row r="13" spans="1:17" s="121" customFormat="1" x14ac:dyDescent="0.25">
      <c r="A13" s="146" t="s">
        <v>161</v>
      </c>
      <c r="B13" s="35">
        <v>1</v>
      </c>
      <c r="C13" s="35"/>
      <c r="D13" s="35">
        <v>1</v>
      </c>
      <c r="E13" s="35">
        <v>1</v>
      </c>
      <c r="F13" s="35">
        <v>1</v>
      </c>
      <c r="G13" s="35"/>
      <c r="H13" s="35">
        <v>1</v>
      </c>
      <c r="I13" s="35">
        <v>1</v>
      </c>
      <c r="J13" s="35">
        <v>1</v>
      </c>
      <c r="K13" s="35"/>
      <c r="L13">
        <v>2</v>
      </c>
      <c r="M13"/>
      <c r="N13"/>
      <c r="O13"/>
      <c r="P13"/>
      <c r="Q13"/>
    </row>
    <row r="14" spans="1:17" x14ac:dyDescent="0.25">
      <c r="A14" s="146" t="s">
        <v>168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>
        <v>2</v>
      </c>
      <c r="M14" s="121"/>
      <c r="N14" s="121"/>
      <c r="O14" s="121"/>
      <c r="P14" s="121"/>
      <c r="Q14" s="121"/>
    </row>
    <row r="15" spans="1:17" x14ac:dyDescent="0.25">
      <c r="A15" s="146" t="s">
        <v>169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>
        <v>2</v>
      </c>
      <c r="M15" s="121"/>
      <c r="N15" s="121"/>
      <c r="O15" s="121"/>
      <c r="P15" s="121"/>
      <c r="Q15" s="121"/>
    </row>
    <row r="16" spans="1:17" x14ac:dyDescent="0.25">
      <c r="A16" s="146" t="s">
        <v>170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>
        <v>2</v>
      </c>
      <c r="M16" s="121"/>
      <c r="N16" s="121"/>
      <c r="O16" s="121"/>
      <c r="P16" s="121"/>
      <c r="Q16" s="121"/>
    </row>
    <row r="17" spans="1:17" x14ac:dyDescent="0.25">
      <c r="A17" s="146" t="s">
        <v>187</v>
      </c>
      <c r="B17" s="35"/>
      <c r="C17" s="35"/>
      <c r="D17" s="35">
        <v>1</v>
      </c>
      <c r="E17" s="35">
        <v>1</v>
      </c>
      <c r="F17" s="35"/>
      <c r="G17" s="35"/>
      <c r="H17" s="35">
        <v>1</v>
      </c>
      <c r="I17" s="35">
        <v>1</v>
      </c>
      <c r="J17" s="35"/>
      <c r="K17" s="35"/>
      <c r="L17">
        <v>2</v>
      </c>
    </row>
    <row r="18" spans="1:17" x14ac:dyDescent="0.25">
      <c r="A18" s="146" t="s">
        <v>264</v>
      </c>
      <c r="B18" s="35">
        <v>1</v>
      </c>
      <c r="C18" s="35">
        <v>1</v>
      </c>
      <c r="D18" s="35">
        <v>1</v>
      </c>
      <c r="E18" s="35"/>
      <c r="F18" s="35"/>
      <c r="G18" s="35">
        <v>1</v>
      </c>
      <c r="H18" s="35">
        <v>1</v>
      </c>
      <c r="I18" s="35">
        <v>1</v>
      </c>
      <c r="J18" s="35"/>
      <c r="K18" s="35"/>
      <c r="L18">
        <v>2</v>
      </c>
    </row>
    <row r="19" spans="1:17" x14ac:dyDescent="0.25">
      <c r="A19" s="146" t="s">
        <v>265</v>
      </c>
      <c r="B19" s="35">
        <v>1</v>
      </c>
      <c r="C19" s="35">
        <v>1</v>
      </c>
      <c r="D19" s="35">
        <v>1</v>
      </c>
      <c r="E19" s="35"/>
      <c r="F19" s="35">
        <v>1</v>
      </c>
      <c r="G19" s="35">
        <v>1</v>
      </c>
      <c r="H19" s="35"/>
      <c r="I19" s="35">
        <v>1</v>
      </c>
      <c r="J19" s="35"/>
      <c r="K19" s="35"/>
      <c r="L19">
        <v>2</v>
      </c>
      <c r="N19" t="s">
        <v>348</v>
      </c>
      <c r="O19" t="s">
        <v>350</v>
      </c>
      <c r="P19" t="s">
        <v>351</v>
      </c>
      <c r="Q19" t="s">
        <v>352</v>
      </c>
    </row>
    <row r="20" spans="1:17" s="121" customFormat="1" x14ac:dyDescent="0.25">
      <c r="A20" s="146" t="s">
        <v>266</v>
      </c>
      <c r="B20" s="35">
        <v>1</v>
      </c>
      <c r="C20" s="35">
        <v>1</v>
      </c>
      <c r="D20" s="35">
        <v>1</v>
      </c>
      <c r="E20" s="35"/>
      <c r="F20" s="35">
        <v>1</v>
      </c>
      <c r="G20" s="35">
        <v>1</v>
      </c>
      <c r="H20" s="35"/>
      <c r="I20" s="35">
        <v>1</v>
      </c>
      <c r="J20" s="35"/>
      <c r="K20" s="35"/>
      <c r="L20">
        <v>2</v>
      </c>
      <c r="M20"/>
      <c r="N20" t="s">
        <v>349</v>
      </c>
      <c r="O20" t="s">
        <v>353</v>
      </c>
      <c r="P20" t="s">
        <v>354</v>
      </c>
      <c r="Q20" t="s">
        <v>352</v>
      </c>
    </row>
    <row r="21" spans="1:17" s="121" customFormat="1" x14ac:dyDescent="0.25">
      <c r="A21" s="146" t="s">
        <v>287</v>
      </c>
      <c r="B21" s="35"/>
      <c r="C21" s="35"/>
      <c r="D21" s="35">
        <v>1</v>
      </c>
      <c r="E21" s="35"/>
      <c r="F21" s="35"/>
      <c r="G21" s="35">
        <v>1</v>
      </c>
      <c r="H21" s="35"/>
      <c r="I21" s="35">
        <v>1</v>
      </c>
      <c r="J21" s="35"/>
      <c r="K21" s="35"/>
      <c r="L21">
        <v>2</v>
      </c>
      <c r="M21"/>
      <c r="N21"/>
      <c r="O21"/>
      <c r="P21"/>
      <c r="Q21"/>
    </row>
    <row r="22" spans="1:17" s="121" customFormat="1" x14ac:dyDescent="0.25">
      <c r="A22" s="146" t="s">
        <v>323</v>
      </c>
      <c r="B22" s="35"/>
      <c r="C22" s="35"/>
      <c r="D22" s="35">
        <v>1</v>
      </c>
      <c r="E22" s="35"/>
      <c r="F22" s="35">
        <v>1</v>
      </c>
      <c r="G22" s="35"/>
      <c r="H22" s="35"/>
      <c r="I22" s="35">
        <v>1</v>
      </c>
      <c r="J22" s="35"/>
      <c r="K22" s="35"/>
      <c r="L22">
        <v>2</v>
      </c>
      <c r="M22"/>
      <c r="N22"/>
      <c r="O22"/>
      <c r="P22"/>
      <c r="Q22"/>
    </row>
    <row r="23" spans="1:17" s="121" customFormat="1" x14ac:dyDescent="0.25">
      <c r="A23" s="146" t="s">
        <v>326</v>
      </c>
      <c r="B23" s="35"/>
      <c r="C23" s="35"/>
      <c r="D23" s="35">
        <v>1</v>
      </c>
      <c r="E23" s="35"/>
      <c r="F23" s="35"/>
      <c r="G23" s="35">
        <v>1</v>
      </c>
      <c r="H23" s="35"/>
      <c r="I23" s="35">
        <v>1</v>
      </c>
      <c r="J23" s="35"/>
      <c r="K23" s="35"/>
      <c r="L23">
        <v>2</v>
      </c>
      <c r="M23"/>
      <c r="N23"/>
      <c r="O23"/>
      <c r="P23"/>
      <c r="Q23"/>
    </row>
    <row r="24" spans="1:17" s="121" customFormat="1" x14ac:dyDescent="0.25">
      <c r="A24" s="146" t="s">
        <v>327</v>
      </c>
      <c r="B24" s="35"/>
      <c r="C24" s="35"/>
      <c r="D24" s="35">
        <v>1</v>
      </c>
      <c r="E24" s="35"/>
      <c r="F24" s="35"/>
      <c r="G24" s="35">
        <v>1</v>
      </c>
      <c r="H24" s="35"/>
      <c r="I24" s="35">
        <v>1</v>
      </c>
      <c r="J24" s="35"/>
      <c r="K24" s="35"/>
      <c r="L24">
        <v>2</v>
      </c>
      <c r="M24"/>
      <c r="N24"/>
      <c r="O24"/>
      <c r="P24"/>
      <c r="Q24"/>
    </row>
    <row r="25" spans="1:17" s="121" customFormat="1" x14ac:dyDescent="0.25">
      <c r="A25" s="146" t="s">
        <v>330</v>
      </c>
      <c r="B25" s="35"/>
      <c r="C25" s="35"/>
      <c r="D25" s="35">
        <v>1</v>
      </c>
      <c r="E25" s="35"/>
      <c r="F25" s="35"/>
      <c r="G25" s="35">
        <v>1</v>
      </c>
      <c r="H25" s="35"/>
      <c r="I25" s="35">
        <v>1</v>
      </c>
      <c r="J25" s="35"/>
      <c r="K25" s="35"/>
      <c r="L25">
        <v>2</v>
      </c>
      <c r="M25"/>
      <c r="N25"/>
      <c r="O25"/>
      <c r="P25"/>
      <c r="Q25"/>
    </row>
    <row r="26" spans="1:17" s="121" customFormat="1" x14ac:dyDescent="0.25">
      <c r="A26" s="145" t="s">
        <v>32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>
        <v>2</v>
      </c>
      <c r="M26"/>
      <c r="N26"/>
      <c r="O26"/>
      <c r="P26"/>
      <c r="Q26"/>
    </row>
    <row r="27" spans="1:17" x14ac:dyDescent="0.25">
      <c r="A27" s="146" t="s">
        <v>128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147">
        <v>2</v>
      </c>
    </row>
    <row r="28" spans="1:17" s="121" customFormat="1" x14ac:dyDescent="0.25">
      <c r="A28" s="146" t="s">
        <v>129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>
        <v>2</v>
      </c>
      <c r="M28"/>
      <c r="N28"/>
      <c r="O28"/>
      <c r="P28"/>
      <c r="Q28"/>
    </row>
    <row r="29" spans="1:17" x14ac:dyDescent="0.25">
      <c r="A29" s="146" t="s">
        <v>126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147">
        <v>2</v>
      </c>
    </row>
    <row r="30" spans="1:17" x14ac:dyDescent="0.25">
      <c r="A30" s="146" t="s">
        <v>127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147">
        <v>2</v>
      </c>
      <c r="M30" s="121"/>
      <c r="N30" s="121"/>
      <c r="O30" s="121"/>
      <c r="P30" s="121"/>
      <c r="Q30" s="121"/>
    </row>
    <row r="31" spans="1:17" x14ac:dyDescent="0.25">
      <c r="A31" s="146" t="s">
        <v>158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148">
        <v>2</v>
      </c>
    </row>
    <row r="32" spans="1:17" s="121" customFormat="1" ht="15.75" x14ac:dyDescent="0.25">
      <c r="A32" s="143" t="s">
        <v>9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>
        <v>1</v>
      </c>
      <c r="M32"/>
      <c r="N32" s="142" t="s">
        <v>348</v>
      </c>
      <c r="O32" s="142" t="s">
        <v>357</v>
      </c>
      <c r="P32" s="142" t="s">
        <v>358</v>
      </c>
      <c r="Q32" s="142" t="s">
        <v>359</v>
      </c>
    </row>
    <row r="33" spans="1:17" s="121" customFormat="1" ht="15.75" x14ac:dyDescent="0.25">
      <c r="A33" s="143" t="s">
        <v>10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>
        <v>1</v>
      </c>
      <c r="M33"/>
      <c r="N33" s="141" t="s">
        <v>349</v>
      </c>
      <c r="O33" s="141" t="s">
        <v>360</v>
      </c>
      <c r="P33" s="141" t="s">
        <v>361</v>
      </c>
      <c r="Q33" s="141" t="s">
        <v>359</v>
      </c>
    </row>
    <row r="34" spans="1:17" s="121" customFormat="1" x14ac:dyDescent="0.25">
      <c r="A34" s="143" t="s">
        <v>25</v>
      </c>
      <c r="B34" s="35"/>
      <c r="C34" s="35">
        <v>1</v>
      </c>
      <c r="D34" s="35">
        <v>1</v>
      </c>
      <c r="E34" s="35"/>
      <c r="F34" s="35"/>
      <c r="G34" s="35">
        <v>1</v>
      </c>
      <c r="H34" s="35">
        <v>1</v>
      </c>
      <c r="I34" s="35">
        <v>1</v>
      </c>
      <c r="J34" s="35"/>
      <c r="K34" s="35"/>
      <c r="L34">
        <v>1</v>
      </c>
      <c r="M34"/>
      <c r="N34"/>
      <c r="O34"/>
      <c r="P34"/>
      <c r="Q34"/>
    </row>
    <row r="35" spans="1:17" x14ac:dyDescent="0.25">
      <c r="A35" s="143" t="s">
        <v>26</v>
      </c>
      <c r="B35" s="35"/>
      <c r="C35" s="35">
        <v>1</v>
      </c>
      <c r="D35" s="35">
        <v>1</v>
      </c>
      <c r="E35" s="35"/>
      <c r="F35" s="35"/>
      <c r="G35" s="35">
        <v>1</v>
      </c>
      <c r="H35" s="35">
        <v>1</v>
      </c>
      <c r="I35" s="35">
        <v>1</v>
      </c>
      <c r="J35" s="35"/>
      <c r="K35" s="35"/>
      <c r="L35" s="147">
        <v>1</v>
      </c>
    </row>
    <row r="36" spans="1:17" x14ac:dyDescent="0.25">
      <c r="A36" s="143" t="s">
        <v>27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>
        <v>1</v>
      </c>
    </row>
    <row r="37" spans="1:17" x14ac:dyDescent="0.25">
      <c r="A37" s="143" t="s">
        <v>28</v>
      </c>
      <c r="B37" s="35">
        <v>1</v>
      </c>
      <c r="C37" s="35"/>
      <c r="D37" s="35"/>
      <c r="E37" s="35"/>
      <c r="F37" s="35">
        <v>1</v>
      </c>
      <c r="G37" s="35"/>
      <c r="H37" s="35"/>
      <c r="I37" s="35"/>
      <c r="J37" s="35">
        <v>1</v>
      </c>
      <c r="K37" s="35"/>
      <c r="L37" s="147">
        <v>1</v>
      </c>
    </row>
    <row r="38" spans="1:17" x14ac:dyDescent="0.25">
      <c r="A38" s="143" t="s">
        <v>31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147">
        <v>1</v>
      </c>
    </row>
    <row r="39" spans="1:17" x14ac:dyDescent="0.25">
      <c r="A39" s="143" t="s">
        <v>33</v>
      </c>
      <c r="B39" s="35">
        <v>1</v>
      </c>
      <c r="C39" s="35"/>
      <c r="D39" s="35"/>
      <c r="E39" s="35"/>
      <c r="F39" s="35">
        <v>1</v>
      </c>
      <c r="G39" s="35"/>
      <c r="H39" s="35"/>
      <c r="I39" s="35">
        <v>1</v>
      </c>
      <c r="J39" s="35"/>
      <c r="K39" s="35"/>
      <c r="L39">
        <v>1</v>
      </c>
    </row>
    <row r="40" spans="1:17" s="121" customFormat="1" x14ac:dyDescent="0.25">
      <c r="A40" s="144" t="s">
        <v>147</v>
      </c>
      <c r="B40" s="35">
        <v>1</v>
      </c>
      <c r="C40" s="35">
        <v>1</v>
      </c>
      <c r="D40" s="35">
        <v>1</v>
      </c>
      <c r="E40" s="35">
        <v>1</v>
      </c>
      <c r="F40" s="35"/>
      <c r="G40" s="35">
        <v>1</v>
      </c>
      <c r="H40" s="35">
        <v>1</v>
      </c>
      <c r="I40" s="35">
        <v>1</v>
      </c>
      <c r="J40" s="35">
        <v>1</v>
      </c>
      <c r="K40" s="35">
        <v>1</v>
      </c>
      <c r="L40">
        <v>1</v>
      </c>
      <c r="M40"/>
      <c r="N40"/>
      <c r="O40"/>
      <c r="P40"/>
      <c r="Q40"/>
    </row>
    <row r="41" spans="1:17" x14ac:dyDescent="0.25">
      <c r="A41" s="144" t="s">
        <v>182</v>
      </c>
      <c r="B41" s="35">
        <v>1</v>
      </c>
      <c r="C41" s="35"/>
      <c r="D41" s="35">
        <v>1</v>
      </c>
      <c r="E41" s="35">
        <v>1</v>
      </c>
      <c r="F41" s="35"/>
      <c r="G41" s="35">
        <v>1</v>
      </c>
      <c r="H41" s="35">
        <v>1</v>
      </c>
      <c r="I41" s="35">
        <v>1</v>
      </c>
      <c r="J41" s="35"/>
      <c r="K41" s="35">
        <v>1</v>
      </c>
      <c r="L41">
        <v>1</v>
      </c>
    </row>
    <row r="42" spans="1:17" x14ac:dyDescent="0.25">
      <c r="A42" s="144" t="s">
        <v>252</v>
      </c>
      <c r="B42" s="35">
        <v>1</v>
      </c>
      <c r="C42" s="35">
        <v>1</v>
      </c>
      <c r="D42" s="35">
        <v>1</v>
      </c>
      <c r="E42" s="35">
        <v>1</v>
      </c>
      <c r="F42" s="35"/>
      <c r="G42" s="35">
        <v>1</v>
      </c>
      <c r="H42" s="35">
        <v>1</v>
      </c>
      <c r="I42" s="35">
        <v>1</v>
      </c>
      <c r="J42" s="35">
        <v>1</v>
      </c>
      <c r="K42" s="35">
        <v>1</v>
      </c>
      <c r="L42" s="147">
        <v>1</v>
      </c>
    </row>
    <row r="43" spans="1:17" x14ac:dyDescent="0.25">
      <c r="A43" s="144" t="s">
        <v>253</v>
      </c>
      <c r="B43" s="35">
        <v>1</v>
      </c>
      <c r="C43" s="35">
        <v>1</v>
      </c>
      <c r="D43" s="35">
        <v>1</v>
      </c>
      <c r="E43" s="35">
        <v>1</v>
      </c>
      <c r="F43" s="35"/>
      <c r="G43" s="35">
        <v>1</v>
      </c>
      <c r="H43" s="35">
        <v>1</v>
      </c>
      <c r="I43" s="35">
        <v>1</v>
      </c>
      <c r="J43" s="35">
        <v>1</v>
      </c>
      <c r="K43" s="35">
        <v>1</v>
      </c>
      <c r="L43" s="148">
        <v>1</v>
      </c>
    </row>
    <row r="44" spans="1:17" x14ac:dyDescent="0.25">
      <c r="A44" s="144" t="s">
        <v>254</v>
      </c>
      <c r="B44" s="35">
        <v>1</v>
      </c>
      <c r="C44" s="35"/>
      <c r="D44" s="35"/>
      <c r="E44" s="35"/>
      <c r="F44" s="35">
        <v>1</v>
      </c>
      <c r="G44" s="35"/>
      <c r="H44" s="35"/>
      <c r="I44" s="35">
        <v>1</v>
      </c>
      <c r="J44" s="35">
        <v>1</v>
      </c>
      <c r="K44" s="35"/>
      <c r="L44" s="148">
        <v>1</v>
      </c>
    </row>
    <row r="45" spans="1:17" x14ac:dyDescent="0.25">
      <c r="A45" s="144" t="s">
        <v>271</v>
      </c>
      <c r="B45" s="35">
        <v>1</v>
      </c>
      <c r="C45" s="35"/>
      <c r="D45" s="35"/>
      <c r="E45" s="35"/>
      <c r="F45" s="35">
        <v>1</v>
      </c>
      <c r="G45" s="35"/>
      <c r="H45" s="35"/>
      <c r="I45" s="35">
        <v>1</v>
      </c>
      <c r="J45" s="35">
        <v>1</v>
      </c>
      <c r="K45" s="35"/>
      <c r="L45" s="147">
        <v>1</v>
      </c>
    </row>
    <row r="46" spans="1:17" x14ac:dyDescent="0.25">
      <c r="A46" s="144" t="s">
        <v>270</v>
      </c>
      <c r="B46" s="35">
        <v>1</v>
      </c>
      <c r="C46" s="35"/>
      <c r="D46" s="35"/>
      <c r="E46" s="35"/>
      <c r="F46" s="35">
        <v>1</v>
      </c>
      <c r="G46" s="35"/>
      <c r="H46" s="35">
        <v>1</v>
      </c>
      <c r="I46" s="35">
        <v>1</v>
      </c>
      <c r="J46" s="35">
        <v>1</v>
      </c>
      <c r="K46" s="35"/>
      <c r="L46" s="148">
        <v>1</v>
      </c>
    </row>
    <row r="47" spans="1:17" x14ac:dyDescent="0.25">
      <c r="A47" s="144" t="s">
        <v>298</v>
      </c>
      <c r="B47" s="35">
        <v>1</v>
      </c>
      <c r="C47" s="35"/>
      <c r="D47" s="35"/>
      <c r="E47" s="35"/>
      <c r="F47" s="35">
        <v>1</v>
      </c>
      <c r="G47" s="35"/>
      <c r="H47" s="35"/>
      <c r="I47" s="35"/>
      <c r="J47" s="35">
        <v>1</v>
      </c>
      <c r="K47" s="35"/>
      <c r="L47" s="148">
        <v>1</v>
      </c>
    </row>
    <row r="48" spans="1:17" x14ac:dyDescent="0.25">
      <c r="A48" s="144" t="s">
        <v>315</v>
      </c>
      <c r="B48" s="35"/>
      <c r="C48" s="35">
        <v>1</v>
      </c>
      <c r="D48" s="35">
        <v>1</v>
      </c>
      <c r="E48" s="35">
        <v>1</v>
      </c>
      <c r="F48" s="35"/>
      <c r="G48" s="35">
        <v>1</v>
      </c>
      <c r="H48" s="35">
        <v>1</v>
      </c>
      <c r="I48" s="35">
        <v>1</v>
      </c>
      <c r="J48" s="35"/>
      <c r="K48" s="35">
        <v>1</v>
      </c>
      <c r="L48" s="147">
        <v>1</v>
      </c>
    </row>
    <row r="49" spans="1:17" x14ac:dyDescent="0.25">
      <c r="A49" s="144" t="s">
        <v>316</v>
      </c>
      <c r="B49" s="35"/>
      <c r="C49" s="35">
        <v>1</v>
      </c>
      <c r="D49" s="35">
        <v>1</v>
      </c>
      <c r="E49" s="35">
        <v>1</v>
      </c>
      <c r="F49" s="35"/>
      <c r="G49" s="35">
        <v>1</v>
      </c>
      <c r="H49" s="35">
        <v>1</v>
      </c>
      <c r="I49" s="35">
        <v>1</v>
      </c>
      <c r="J49" s="35"/>
      <c r="K49" s="35">
        <v>1</v>
      </c>
      <c r="L49" s="147">
        <v>1</v>
      </c>
      <c r="M49" s="121"/>
      <c r="N49" s="121"/>
      <c r="O49" s="121"/>
      <c r="P49" s="121"/>
      <c r="Q49" s="121"/>
    </row>
    <row r="50" spans="1:17" x14ac:dyDescent="0.25">
      <c r="A50" s="144" t="s">
        <v>67</v>
      </c>
      <c r="B50" s="35">
        <v>1</v>
      </c>
      <c r="C50" s="35"/>
      <c r="D50" s="35">
        <v>1</v>
      </c>
      <c r="E50" s="35"/>
      <c r="F50" s="35">
        <v>1</v>
      </c>
      <c r="G50" s="35"/>
      <c r="H50" s="35">
        <v>1</v>
      </c>
      <c r="I50" s="35">
        <v>1</v>
      </c>
      <c r="J50" s="35"/>
      <c r="K50" s="35"/>
      <c r="L50" s="148">
        <v>1</v>
      </c>
      <c r="M50" s="121"/>
      <c r="N50" s="121"/>
      <c r="O50" s="121"/>
      <c r="P50" s="121"/>
      <c r="Q50" s="121"/>
    </row>
    <row r="51" spans="1:17" x14ac:dyDescent="0.25">
      <c r="A51" s="144" t="s">
        <v>68</v>
      </c>
      <c r="B51" s="35">
        <v>1</v>
      </c>
      <c r="C51" s="35"/>
      <c r="D51" s="35">
        <v>1</v>
      </c>
      <c r="E51" s="35"/>
      <c r="F51" s="35">
        <v>1</v>
      </c>
      <c r="G51" s="35"/>
      <c r="H51" s="35">
        <v>1</v>
      </c>
      <c r="I51" s="35">
        <v>1</v>
      </c>
      <c r="J51" s="35"/>
      <c r="K51" s="35"/>
      <c r="L51">
        <v>1</v>
      </c>
      <c r="M51" s="121"/>
      <c r="N51" s="121"/>
      <c r="O51" s="121"/>
      <c r="P51" s="121"/>
      <c r="Q51" s="121"/>
    </row>
    <row r="52" spans="1:17" x14ac:dyDescent="0.25">
      <c r="A52" s="144" t="s">
        <v>325</v>
      </c>
      <c r="B52" s="35">
        <v>1</v>
      </c>
      <c r="C52" s="35">
        <v>1</v>
      </c>
      <c r="D52" s="35">
        <v>1</v>
      </c>
      <c r="E52" s="35">
        <v>1</v>
      </c>
      <c r="F52" s="35"/>
      <c r="G52" s="35">
        <v>1</v>
      </c>
      <c r="H52" s="35">
        <v>1</v>
      </c>
      <c r="I52" s="35">
        <v>1</v>
      </c>
      <c r="J52" s="35">
        <v>1</v>
      </c>
      <c r="K52" s="35">
        <v>1</v>
      </c>
      <c r="L52">
        <v>1</v>
      </c>
      <c r="M52" s="121"/>
      <c r="N52" s="121"/>
      <c r="O52" s="121"/>
      <c r="P52" s="121"/>
      <c r="Q52" s="121"/>
    </row>
    <row r="53" spans="1:17" x14ac:dyDescent="0.25">
      <c r="A53" s="144" t="s">
        <v>336</v>
      </c>
      <c r="B53" s="35">
        <v>1</v>
      </c>
      <c r="C53" s="35"/>
      <c r="D53" s="35">
        <v>1</v>
      </c>
      <c r="E53" s="35"/>
      <c r="F53" s="35">
        <v>1</v>
      </c>
      <c r="G53" s="35"/>
      <c r="H53" s="35">
        <v>1</v>
      </c>
      <c r="I53" s="35">
        <v>1</v>
      </c>
      <c r="J53" s="35"/>
      <c r="K53" s="35"/>
      <c r="L53" s="147">
        <v>1</v>
      </c>
      <c r="M53" s="121"/>
      <c r="N53" s="121"/>
      <c r="O53" s="121"/>
      <c r="P53" s="121"/>
      <c r="Q53" s="121"/>
    </row>
    <row r="54" spans="1:17" x14ac:dyDescent="0.25">
      <c r="A54" s="144" t="s">
        <v>109</v>
      </c>
      <c r="B54" s="35"/>
      <c r="C54" s="35"/>
      <c r="D54" s="35"/>
      <c r="E54" s="35"/>
      <c r="F54" s="35"/>
      <c r="G54" s="35"/>
      <c r="H54" s="35"/>
      <c r="I54" s="35"/>
      <c r="J54" s="35"/>
      <c r="K54" s="35"/>
      <c r="L54">
        <v>1</v>
      </c>
      <c r="M54" s="121"/>
      <c r="N54" s="121"/>
      <c r="O54" s="121"/>
      <c r="P54" s="121"/>
      <c r="Q54" s="121"/>
    </row>
    <row r="55" spans="1:17" x14ac:dyDescent="0.25">
      <c r="A55" s="144" t="s">
        <v>110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>
        <v>1</v>
      </c>
      <c r="M55" s="121"/>
      <c r="N55" s="121"/>
      <c r="O55" s="121"/>
      <c r="P55" s="121"/>
      <c r="Q55" s="121"/>
    </row>
    <row r="56" spans="1:17" x14ac:dyDescent="0.25">
      <c r="A56" s="144" t="s">
        <v>142</v>
      </c>
      <c r="B56" s="35"/>
      <c r="C56" s="35"/>
      <c r="D56" s="35"/>
      <c r="E56" s="35"/>
      <c r="F56" s="35"/>
      <c r="G56" s="35"/>
      <c r="H56" s="35"/>
      <c r="I56" s="35"/>
      <c r="J56" s="35"/>
      <c r="K56" s="35">
        <v>1</v>
      </c>
      <c r="L56">
        <v>1</v>
      </c>
      <c r="M56" s="121"/>
      <c r="N56" s="121"/>
      <c r="O56" s="121"/>
      <c r="P56" s="121"/>
      <c r="Q56" s="121"/>
    </row>
    <row r="57" spans="1:17" s="121" customFormat="1" x14ac:dyDescent="0.25">
      <c r="A57" s="102" t="s">
        <v>255</v>
      </c>
      <c r="B57" s="35"/>
      <c r="C57" s="35"/>
      <c r="D57" s="35"/>
      <c r="E57" s="35"/>
      <c r="F57" s="35"/>
      <c r="G57" s="35"/>
      <c r="H57" s="35"/>
      <c r="I57" s="35"/>
      <c r="J57" s="35"/>
      <c r="K57" s="35"/>
      <c r="L57"/>
    </row>
    <row r="58" spans="1:17" x14ac:dyDescent="0.25">
      <c r="A58" s="102" t="s">
        <v>331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M58" s="121"/>
      <c r="N58" s="121"/>
      <c r="O58" s="121"/>
      <c r="P58" s="121"/>
      <c r="Q58" s="121"/>
    </row>
    <row r="59" spans="1:17" x14ac:dyDescent="0.25">
      <c r="B59" s="126">
        <f>SUM(B3:B58)</f>
        <v>20</v>
      </c>
      <c r="C59" s="127">
        <f t="shared" ref="C59:K59" si="0">SUM(C3:C58)</f>
        <v>13</v>
      </c>
      <c r="D59" s="126">
        <f t="shared" si="0"/>
        <v>28</v>
      </c>
      <c r="E59" s="127">
        <f t="shared" si="0"/>
        <v>11</v>
      </c>
      <c r="F59" s="127">
        <f t="shared" si="0"/>
        <v>15</v>
      </c>
      <c r="G59" s="126">
        <f t="shared" si="0"/>
        <v>20</v>
      </c>
      <c r="H59" s="127">
        <f t="shared" si="0"/>
        <v>18</v>
      </c>
      <c r="I59" s="125">
        <f t="shared" si="0"/>
        <v>32</v>
      </c>
      <c r="J59" s="127">
        <f t="shared" si="0"/>
        <v>12</v>
      </c>
      <c r="K59">
        <f t="shared" si="0"/>
        <v>8</v>
      </c>
    </row>
  </sheetData>
  <sortState xmlns:xlrd2="http://schemas.microsoft.com/office/spreadsheetml/2017/richdata2" ref="A3:L58">
    <sortCondition descending="1" ref="L3:L58"/>
  </sortState>
  <mergeCells count="3">
    <mergeCell ref="B1:C1"/>
    <mergeCell ref="F1:G1"/>
    <mergeCell ref="J1:K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73"/>
  <sheetViews>
    <sheetView topLeftCell="A11" zoomScale="85" zoomScaleNormal="85" zoomScalePageLayoutView="85" workbookViewId="0">
      <pane xSplit="1" topLeftCell="CI1" activePane="topRight" state="frozen"/>
      <selection activeCell="A67" sqref="A67"/>
      <selection pane="topRight" activeCell="EE7" sqref="EE7:EE70"/>
    </sheetView>
  </sheetViews>
  <sheetFormatPr baseColWidth="10" defaultColWidth="11.42578125" defaultRowHeight="15.75" x14ac:dyDescent="0.25"/>
  <cols>
    <col min="1" max="1" width="23.7109375" style="1" customWidth="1"/>
    <col min="2" max="2" width="15" style="1" customWidth="1"/>
    <col min="3" max="3" width="3.5703125" style="1" customWidth="1"/>
    <col min="4" max="4" width="12.42578125" style="1" customWidth="1"/>
    <col min="5" max="12" width="4.28515625" style="1" customWidth="1"/>
    <col min="13" max="13" width="0.85546875" style="1" customWidth="1"/>
    <col min="14" max="21" width="4.28515625" style="1" customWidth="1"/>
    <col min="22" max="22" width="0.85546875" style="1" customWidth="1"/>
    <col min="23" max="31" width="4.28515625" style="1" customWidth="1"/>
    <col min="32" max="32" width="0.85546875" style="1" customWidth="1"/>
    <col min="33" max="41" width="4.28515625" style="1" customWidth="1"/>
    <col min="42" max="42" width="1.28515625" style="1" customWidth="1"/>
    <col min="43" max="52" width="4.28515625" style="1" customWidth="1"/>
    <col min="53" max="53" width="0.85546875" style="1" customWidth="1"/>
    <col min="54" max="67" width="4.28515625" style="1" customWidth="1"/>
    <col min="68" max="68" width="1.140625" style="65" customWidth="1"/>
    <col min="69" max="78" width="4.28515625" style="1" customWidth="1"/>
    <col min="79" max="79" width="0.85546875" style="1" customWidth="1"/>
    <col min="80" max="88" width="4.28515625" style="1" customWidth="1"/>
    <col min="89" max="89" width="1" style="1" customWidth="1"/>
    <col min="90" max="102" width="4.28515625" style="1" customWidth="1"/>
    <col min="103" max="103" width="1.140625" style="1" customWidth="1"/>
    <col min="104" max="105" width="4.28515625" style="108" customWidth="1"/>
    <col min="106" max="116" width="4.28515625" style="1" customWidth="1"/>
    <col min="117" max="117" width="0.85546875" style="1" customWidth="1"/>
    <col min="118" max="119" width="4.28515625" style="108" customWidth="1"/>
    <col min="120" max="131" width="4.28515625" style="1" customWidth="1"/>
    <col min="132" max="132" width="5.7109375" style="5" customWidth="1"/>
    <col min="133" max="134" width="3.7109375" style="5" customWidth="1"/>
    <col min="135" max="135" width="4.5703125" style="6" customWidth="1"/>
    <col min="136" max="136" width="3.7109375" style="6" customWidth="1"/>
    <col min="137" max="137" width="19.85546875" style="1" customWidth="1"/>
    <col min="138" max="16384" width="11.42578125" style="1"/>
  </cols>
  <sheetData>
    <row r="1" spans="1:143" ht="61.5" x14ac:dyDescent="0.9">
      <c r="C1" s="258" t="s">
        <v>0</v>
      </c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  <c r="U1" s="258"/>
      <c r="V1" s="258"/>
      <c r="W1" s="258"/>
      <c r="X1" s="258"/>
      <c r="Y1" s="258"/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/>
      <c r="AL1" s="258"/>
      <c r="AM1" s="258"/>
      <c r="AN1" s="258"/>
      <c r="AO1" s="258"/>
      <c r="AP1" s="258"/>
      <c r="AQ1" s="258"/>
      <c r="AR1" s="258"/>
      <c r="AS1" s="258"/>
      <c r="AT1" s="258"/>
      <c r="AU1" s="258"/>
      <c r="AV1" s="258"/>
      <c r="AW1" s="258"/>
      <c r="AX1" s="258"/>
      <c r="AY1" s="258"/>
      <c r="AZ1" s="258"/>
      <c r="BA1" s="258"/>
      <c r="BB1" s="258"/>
      <c r="BC1" s="258"/>
      <c r="BD1" s="258"/>
      <c r="BE1" s="258"/>
      <c r="BF1" s="258"/>
      <c r="BG1" s="258"/>
      <c r="BH1" s="258"/>
      <c r="BI1" s="258"/>
      <c r="BJ1" s="258"/>
      <c r="BK1" s="258"/>
      <c r="BL1" s="258"/>
      <c r="BM1" s="258"/>
      <c r="BN1" s="258"/>
      <c r="BO1" s="258"/>
      <c r="BP1" s="258"/>
      <c r="BQ1" s="258"/>
      <c r="BR1" s="258"/>
      <c r="BS1" s="258"/>
      <c r="BT1" s="258"/>
      <c r="BU1" s="258"/>
      <c r="BV1" s="258"/>
      <c r="BW1" s="258"/>
      <c r="BX1" s="258"/>
      <c r="BY1" s="258"/>
      <c r="BZ1" s="258"/>
      <c r="CA1" s="258"/>
      <c r="CB1" s="258"/>
      <c r="CC1" s="258"/>
      <c r="CD1" s="258"/>
      <c r="CE1" s="258"/>
      <c r="CF1" s="258"/>
      <c r="CG1" s="258"/>
      <c r="CH1" s="258"/>
      <c r="CI1" s="258"/>
      <c r="CJ1" s="258"/>
      <c r="CK1" s="258"/>
      <c r="CL1" s="258"/>
      <c r="CM1" s="258"/>
      <c r="CN1" s="258"/>
      <c r="CO1" s="258"/>
      <c r="CP1" s="258"/>
      <c r="CQ1" s="258"/>
      <c r="CR1" s="258"/>
      <c r="CS1" s="258"/>
      <c r="CT1" s="258"/>
      <c r="CU1" s="258"/>
      <c r="CV1" s="258"/>
      <c r="CW1" s="258"/>
      <c r="CX1" s="258"/>
      <c r="CY1" s="258"/>
      <c r="CZ1" s="258"/>
      <c r="DA1" s="258"/>
      <c r="DB1" s="258"/>
      <c r="DC1" s="258"/>
      <c r="DD1" s="258"/>
      <c r="DE1" s="258"/>
      <c r="DF1" s="258"/>
      <c r="DG1" s="258"/>
      <c r="DH1" s="258"/>
      <c r="DI1" s="258"/>
      <c r="DJ1" s="258"/>
      <c r="DK1" s="258"/>
      <c r="DL1" s="258"/>
      <c r="DM1" s="258"/>
      <c r="DN1" s="258"/>
      <c r="DO1" s="258"/>
      <c r="DP1" s="258"/>
      <c r="DQ1" s="258"/>
      <c r="DR1" s="258"/>
      <c r="DS1" s="258"/>
      <c r="DT1" s="258"/>
      <c r="DU1" s="258"/>
      <c r="DV1" s="258"/>
      <c r="DW1" s="258"/>
      <c r="DX1" s="258"/>
      <c r="DY1" s="258"/>
      <c r="DZ1" s="258"/>
      <c r="EA1" s="258"/>
      <c r="EB1" s="258"/>
    </row>
    <row r="3" spans="1:143" ht="23.25" customHeight="1" x14ac:dyDescent="0.35">
      <c r="E3" s="200" t="s">
        <v>7</v>
      </c>
      <c r="F3" s="200"/>
      <c r="G3" s="200"/>
      <c r="H3" s="200"/>
      <c r="I3" s="200"/>
      <c r="J3" s="200"/>
      <c r="K3" s="200"/>
      <c r="L3" s="200"/>
      <c r="N3" s="200" t="s">
        <v>8</v>
      </c>
      <c r="O3" s="200"/>
      <c r="P3" s="200"/>
      <c r="Q3" s="200"/>
      <c r="R3" s="200"/>
      <c r="S3" s="200"/>
      <c r="T3" s="200"/>
      <c r="U3" s="200"/>
      <c r="W3" s="200" t="s">
        <v>29</v>
      </c>
      <c r="X3" s="200"/>
      <c r="Y3" s="200"/>
      <c r="Z3" s="200"/>
      <c r="AA3" s="200"/>
      <c r="AB3" s="200"/>
      <c r="AC3" s="200"/>
      <c r="AD3" s="200"/>
      <c r="AE3" s="2"/>
      <c r="AG3" s="200" t="s">
        <v>121</v>
      </c>
      <c r="AH3" s="200"/>
      <c r="AI3" s="200"/>
      <c r="AJ3" s="200"/>
      <c r="AK3" s="200"/>
      <c r="AL3" s="200"/>
      <c r="AM3" s="200"/>
      <c r="AN3" s="200"/>
      <c r="AO3" s="200"/>
      <c r="AP3" s="2"/>
      <c r="AQ3" s="200" t="s">
        <v>122</v>
      </c>
      <c r="AR3" s="200"/>
      <c r="AS3" s="200"/>
      <c r="AT3" s="200"/>
      <c r="AU3" s="200"/>
      <c r="AV3" s="200"/>
      <c r="AW3" s="200"/>
      <c r="AX3" s="200"/>
      <c r="AY3" s="200"/>
      <c r="AZ3" s="200"/>
      <c r="BA3" s="2"/>
      <c r="BB3" s="200" t="s">
        <v>175</v>
      </c>
      <c r="BC3" s="200"/>
      <c r="BD3" s="200"/>
      <c r="BE3" s="200"/>
      <c r="BF3" s="200"/>
      <c r="BG3" s="200"/>
      <c r="BH3" s="200"/>
      <c r="BI3" s="200"/>
      <c r="BJ3" s="200"/>
      <c r="BK3" s="200"/>
      <c r="BL3" s="200"/>
      <c r="BM3" s="200"/>
      <c r="BN3" s="200"/>
      <c r="BO3" s="200"/>
      <c r="BP3" s="66"/>
      <c r="BQ3" s="200" t="s">
        <v>176</v>
      </c>
      <c r="BR3" s="200"/>
      <c r="BS3" s="200"/>
      <c r="BT3" s="200"/>
      <c r="BU3" s="200"/>
      <c r="BV3" s="200"/>
      <c r="BW3" s="200"/>
      <c r="BX3" s="200"/>
      <c r="BY3" s="200"/>
      <c r="BZ3" s="200"/>
      <c r="CA3" s="2"/>
      <c r="CB3" s="200" t="s">
        <v>250</v>
      </c>
      <c r="CC3" s="200"/>
      <c r="CD3" s="200"/>
      <c r="CE3" s="200"/>
      <c r="CF3" s="200"/>
      <c r="CG3" s="200"/>
      <c r="CH3" s="200"/>
      <c r="CI3" s="200"/>
      <c r="CJ3" s="200"/>
      <c r="CK3" s="2"/>
      <c r="CL3" s="200" t="s">
        <v>312</v>
      </c>
      <c r="CM3" s="200"/>
      <c r="CN3" s="200"/>
      <c r="CO3" s="200"/>
      <c r="CP3" s="200"/>
      <c r="CQ3" s="200"/>
      <c r="CR3" s="200"/>
      <c r="CS3" s="200"/>
      <c r="CT3" s="200"/>
      <c r="CU3" s="200"/>
      <c r="CV3" s="200"/>
      <c r="CW3" s="200"/>
      <c r="CX3" s="200"/>
      <c r="CY3" s="2"/>
      <c r="CZ3" s="200" t="s">
        <v>334</v>
      </c>
      <c r="DA3" s="200"/>
      <c r="DB3" s="200"/>
      <c r="DC3" s="200"/>
      <c r="DD3" s="200"/>
      <c r="DE3" s="200"/>
      <c r="DF3" s="200"/>
      <c r="DG3" s="200"/>
      <c r="DH3" s="200"/>
      <c r="DI3" s="200"/>
      <c r="DJ3" s="200"/>
      <c r="DK3" s="200"/>
      <c r="DL3" s="200"/>
      <c r="DN3" s="200" t="s">
        <v>363</v>
      </c>
      <c r="DO3" s="200"/>
      <c r="DP3" s="200"/>
      <c r="DQ3" s="200"/>
      <c r="DR3" s="200"/>
      <c r="DS3" s="200"/>
      <c r="DT3" s="200"/>
      <c r="DU3" s="200"/>
      <c r="DV3" s="200"/>
      <c r="DW3" s="200"/>
      <c r="DX3" s="200"/>
      <c r="DY3" s="200"/>
      <c r="DZ3" s="200"/>
      <c r="EA3" s="200"/>
    </row>
    <row r="4" spans="1:143" ht="39" customHeight="1" x14ac:dyDescent="0.35">
      <c r="E4" s="2"/>
      <c r="F4" s="2"/>
      <c r="G4" s="2"/>
      <c r="H4" s="2"/>
      <c r="I4" s="2"/>
      <c r="J4" s="2"/>
      <c r="K4" s="2"/>
      <c r="L4" s="2"/>
      <c r="N4" s="2"/>
      <c r="O4" s="2"/>
      <c r="P4" s="2"/>
      <c r="Q4" s="2"/>
      <c r="R4" s="2"/>
      <c r="S4" s="2"/>
      <c r="T4" s="2"/>
      <c r="U4" s="2"/>
      <c r="W4" s="2"/>
      <c r="X4" s="2"/>
      <c r="Y4" s="2"/>
      <c r="Z4" s="2"/>
      <c r="AA4" s="2"/>
      <c r="AB4" s="2"/>
      <c r="AC4" s="2"/>
      <c r="AD4" s="2"/>
      <c r="AE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66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8">
        <v>45990</v>
      </c>
      <c r="DN4" s="28">
        <v>45993</v>
      </c>
      <c r="DO4" s="28">
        <v>45995</v>
      </c>
      <c r="DP4" s="28">
        <v>45967</v>
      </c>
      <c r="DQ4" s="28">
        <v>45997</v>
      </c>
      <c r="DR4" s="28">
        <v>46000</v>
      </c>
      <c r="DS4" s="28">
        <v>46002</v>
      </c>
      <c r="DT4" s="28">
        <v>46004</v>
      </c>
      <c r="DU4" s="28">
        <v>46007</v>
      </c>
      <c r="DV4" s="28">
        <v>46009</v>
      </c>
      <c r="DW4" s="28">
        <v>46011</v>
      </c>
      <c r="DX4" s="28">
        <v>46014</v>
      </c>
      <c r="DY4" s="28">
        <v>46016</v>
      </c>
      <c r="DZ4" s="28">
        <v>46018</v>
      </c>
      <c r="EA4" s="28">
        <v>46021</v>
      </c>
    </row>
    <row r="5" spans="1:143" s="3" customFormat="1" ht="45.75" customHeight="1" x14ac:dyDescent="0.25">
      <c r="E5" s="28">
        <v>45692</v>
      </c>
      <c r="F5" s="134"/>
      <c r="G5" s="134"/>
      <c r="H5" s="134"/>
      <c r="I5" s="134"/>
      <c r="J5" s="134"/>
      <c r="K5" s="134"/>
      <c r="L5" s="28">
        <v>45715</v>
      </c>
      <c r="N5" s="28">
        <v>45720</v>
      </c>
      <c r="O5" s="134"/>
      <c r="P5" s="134"/>
      <c r="Q5" s="134"/>
      <c r="R5" s="134"/>
      <c r="S5" s="134"/>
      <c r="T5" s="134"/>
      <c r="U5" s="28">
        <v>45743</v>
      </c>
      <c r="W5" s="28">
        <v>45748</v>
      </c>
      <c r="X5" s="134"/>
      <c r="Y5" s="134"/>
      <c r="Z5" s="134"/>
      <c r="AA5" s="134"/>
      <c r="AB5" s="134"/>
      <c r="AC5" s="134"/>
      <c r="AD5" s="135"/>
      <c r="AE5" s="28">
        <v>45776</v>
      </c>
      <c r="AG5" s="28">
        <v>45781</v>
      </c>
      <c r="AH5" s="28">
        <v>45783</v>
      </c>
      <c r="AI5" s="28">
        <v>45785</v>
      </c>
      <c r="AJ5" s="28">
        <v>45790</v>
      </c>
      <c r="AK5" s="28">
        <v>45792</v>
      </c>
      <c r="AL5" s="28">
        <v>45804</v>
      </c>
      <c r="AM5" s="28"/>
      <c r="AN5" s="28"/>
      <c r="AO5" s="28">
        <v>45806</v>
      </c>
      <c r="AP5" s="28"/>
      <c r="AQ5" s="28">
        <v>45811</v>
      </c>
      <c r="AR5" s="28">
        <v>45813</v>
      </c>
      <c r="AS5" s="28">
        <v>45818</v>
      </c>
      <c r="AT5" s="28">
        <v>45820</v>
      </c>
      <c r="AU5" s="28">
        <v>45823</v>
      </c>
      <c r="AV5" s="28">
        <v>45825</v>
      </c>
      <c r="AW5" s="28">
        <v>45830</v>
      </c>
      <c r="AX5" s="28">
        <v>45832</v>
      </c>
      <c r="AY5" s="28">
        <v>45834</v>
      </c>
      <c r="AZ5" s="28">
        <v>45837</v>
      </c>
      <c r="BA5" s="28"/>
      <c r="BB5" s="28">
        <v>45839</v>
      </c>
      <c r="BC5" s="28">
        <v>45841</v>
      </c>
      <c r="BD5" s="28">
        <v>45844</v>
      </c>
      <c r="BE5" s="28">
        <v>45846</v>
      </c>
      <c r="BF5" s="28">
        <v>45848</v>
      </c>
      <c r="BG5" s="28">
        <v>45851</v>
      </c>
      <c r="BH5" s="28">
        <v>45853</v>
      </c>
      <c r="BI5" s="28">
        <v>45855</v>
      </c>
      <c r="BJ5" s="28">
        <v>45858</v>
      </c>
      <c r="BK5" s="28">
        <v>45860</v>
      </c>
      <c r="BL5" s="28">
        <v>45862</v>
      </c>
      <c r="BM5" s="28">
        <v>45865</v>
      </c>
      <c r="BN5" s="28">
        <v>45867</v>
      </c>
      <c r="BO5" s="28">
        <v>45869</v>
      </c>
      <c r="BP5" s="67"/>
      <c r="BQ5" s="28">
        <v>45873</v>
      </c>
      <c r="BR5" s="28">
        <v>45874</v>
      </c>
      <c r="BS5" s="28">
        <v>45876</v>
      </c>
      <c r="BT5" s="28">
        <v>45875</v>
      </c>
      <c r="BU5" s="28">
        <v>45876</v>
      </c>
      <c r="BV5" s="28">
        <v>45877</v>
      </c>
      <c r="BW5" s="28">
        <v>45878</v>
      </c>
      <c r="BX5" s="28">
        <v>45879</v>
      </c>
      <c r="BY5" s="28">
        <v>45880</v>
      </c>
      <c r="BZ5" s="28">
        <v>45881</v>
      </c>
      <c r="CA5" s="28"/>
      <c r="CB5" s="28">
        <v>45911</v>
      </c>
      <c r="CC5" s="28">
        <v>45914</v>
      </c>
      <c r="CD5" s="28">
        <v>45916</v>
      </c>
      <c r="CE5" s="28">
        <v>45918</v>
      </c>
      <c r="CF5" s="28">
        <v>45921</v>
      </c>
      <c r="CG5" s="28">
        <v>45923</v>
      </c>
      <c r="CH5" s="28">
        <v>45925</v>
      </c>
      <c r="CI5" s="28">
        <v>45928</v>
      </c>
      <c r="CJ5" s="28">
        <v>45930</v>
      </c>
      <c r="CK5" s="28"/>
      <c r="CL5" s="28">
        <v>45932</v>
      </c>
      <c r="CM5" s="28">
        <v>45935</v>
      </c>
      <c r="CN5" s="28">
        <v>45937</v>
      </c>
      <c r="CO5" s="28">
        <v>45939</v>
      </c>
      <c r="CP5" s="28">
        <v>45942</v>
      </c>
      <c r="CQ5" s="28">
        <v>45944</v>
      </c>
      <c r="CR5" s="28">
        <v>45946</v>
      </c>
      <c r="CS5" s="28">
        <v>45949</v>
      </c>
      <c r="CT5" s="28">
        <v>45951</v>
      </c>
      <c r="CU5" s="28">
        <v>45953</v>
      </c>
      <c r="CV5" s="28">
        <v>45956</v>
      </c>
      <c r="CW5" s="28">
        <v>45957</v>
      </c>
      <c r="CX5" s="28">
        <v>45958</v>
      </c>
      <c r="CY5" s="28"/>
      <c r="CZ5" s="28">
        <v>45963</v>
      </c>
      <c r="DA5" s="28">
        <v>45965</v>
      </c>
      <c r="DB5" s="28">
        <v>45967</v>
      </c>
      <c r="DC5" s="28">
        <v>45970</v>
      </c>
      <c r="DD5" s="28">
        <v>45972</v>
      </c>
      <c r="DE5" s="28">
        <v>45974</v>
      </c>
      <c r="DF5" s="28">
        <v>45977</v>
      </c>
      <c r="DG5" s="28">
        <v>45979</v>
      </c>
      <c r="DH5" s="28">
        <v>45981</v>
      </c>
      <c r="DI5" s="28">
        <v>45984</v>
      </c>
      <c r="DJ5" s="28">
        <v>45986</v>
      </c>
      <c r="DK5" s="28">
        <v>45988</v>
      </c>
      <c r="DL5" s="28">
        <v>45991</v>
      </c>
      <c r="DN5" s="28">
        <v>45993</v>
      </c>
      <c r="DO5" s="28">
        <v>45995</v>
      </c>
      <c r="DP5" s="28">
        <v>45967</v>
      </c>
      <c r="DQ5" s="28">
        <v>45998</v>
      </c>
      <c r="DR5" s="28">
        <v>46000</v>
      </c>
      <c r="DS5" s="28">
        <v>46002</v>
      </c>
      <c r="DT5" s="28">
        <v>46005</v>
      </c>
      <c r="DU5" s="28">
        <v>46007</v>
      </c>
      <c r="DV5" s="28">
        <v>46009</v>
      </c>
      <c r="DW5" s="28">
        <v>46012</v>
      </c>
      <c r="DX5" s="28">
        <v>46014</v>
      </c>
      <c r="DY5" s="28">
        <v>46016</v>
      </c>
      <c r="DZ5" s="28">
        <v>46019</v>
      </c>
      <c r="EA5" s="28">
        <v>46021</v>
      </c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</row>
    <row r="6" spans="1:143" x14ac:dyDescent="0.25">
      <c r="A6" s="136" t="s">
        <v>4</v>
      </c>
      <c r="B6" s="136" t="s">
        <v>364</v>
      </c>
      <c r="C6" s="136" t="s">
        <v>3</v>
      </c>
      <c r="D6" s="136" t="s">
        <v>66</v>
      </c>
      <c r="E6" s="136" t="s">
        <v>1</v>
      </c>
      <c r="F6" s="137" t="s">
        <v>2</v>
      </c>
      <c r="G6" s="136" t="s">
        <v>1</v>
      </c>
      <c r="H6" s="137" t="s">
        <v>2</v>
      </c>
      <c r="I6" s="136" t="s">
        <v>1</v>
      </c>
      <c r="J6" s="137" t="s">
        <v>2</v>
      </c>
      <c r="K6" s="136" t="s">
        <v>1</v>
      </c>
      <c r="L6" s="137" t="s">
        <v>2</v>
      </c>
      <c r="M6" s="139"/>
      <c r="N6" s="136" t="s">
        <v>1</v>
      </c>
      <c r="O6" s="137" t="s">
        <v>2</v>
      </c>
      <c r="P6" s="136" t="s">
        <v>1</v>
      </c>
      <c r="Q6" s="137" t="s">
        <v>2</v>
      </c>
      <c r="R6" s="136" t="s">
        <v>1</v>
      </c>
      <c r="S6" s="137" t="s">
        <v>2</v>
      </c>
      <c r="T6" s="136" t="s">
        <v>1</v>
      </c>
      <c r="U6" s="137" t="s">
        <v>2</v>
      </c>
      <c r="V6" s="139"/>
      <c r="W6" s="136" t="s">
        <v>1</v>
      </c>
      <c r="X6" s="137" t="s">
        <v>2</v>
      </c>
      <c r="Y6" s="136" t="s">
        <v>1</v>
      </c>
      <c r="Z6" s="137" t="s">
        <v>2</v>
      </c>
      <c r="AA6" s="136" t="s">
        <v>1</v>
      </c>
      <c r="AB6" s="137" t="s">
        <v>2</v>
      </c>
      <c r="AC6" s="136" t="s">
        <v>1</v>
      </c>
      <c r="AD6" s="137" t="s">
        <v>2</v>
      </c>
      <c r="AE6" s="136" t="s">
        <v>1</v>
      </c>
      <c r="AF6" s="139"/>
      <c r="AG6" s="136" t="s">
        <v>174</v>
      </c>
      <c r="AH6" s="136" t="s">
        <v>1</v>
      </c>
      <c r="AI6" s="137" t="s">
        <v>2</v>
      </c>
      <c r="AJ6" s="136" t="s">
        <v>1</v>
      </c>
      <c r="AK6" s="137" t="s">
        <v>2</v>
      </c>
      <c r="AL6" s="136" t="s">
        <v>1</v>
      </c>
      <c r="AM6" s="137" t="s">
        <v>2</v>
      </c>
      <c r="AN6" s="136" t="s">
        <v>1</v>
      </c>
      <c r="AO6" s="137" t="s">
        <v>2</v>
      </c>
      <c r="AP6" s="139"/>
      <c r="AQ6" s="136" t="s">
        <v>1</v>
      </c>
      <c r="AR6" s="137" t="s">
        <v>2</v>
      </c>
      <c r="AS6" s="136" t="s">
        <v>1</v>
      </c>
      <c r="AT6" s="137" t="s">
        <v>2</v>
      </c>
      <c r="AU6" s="136" t="s">
        <v>174</v>
      </c>
      <c r="AV6" s="137" t="s">
        <v>1</v>
      </c>
      <c r="AW6" s="136" t="s">
        <v>174</v>
      </c>
      <c r="AX6" s="137" t="s">
        <v>1</v>
      </c>
      <c r="AY6" s="136" t="s">
        <v>2</v>
      </c>
      <c r="AZ6" s="137" t="s">
        <v>174</v>
      </c>
      <c r="BA6" s="139"/>
      <c r="BB6" s="136" t="s">
        <v>1</v>
      </c>
      <c r="BC6" s="137" t="s">
        <v>2</v>
      </c>
      <c r="BD6" s="136" t="s">
        <v>174</v>
      </c>
      <c r="BE6" s="137" t="s">
        <v>1</v>
      </c>
      <c r="BF6" s="136" t="s">
        <v>2</v>
      </c>
      <c r="BG6" s="137" t="s">
        <v>174</v>
      </c>
      <c r="BH6" s="136" t="s">
        <v>1</v>
      </c>
      <c r="BI6" s="137" t="s">
        <v>2</v>
      </c>
      <c r="BJ6" s="137" t="s">
        <v>174</v>
      </c>
      <c r="BK6" s="136" t="s">
        <v>1</v>
      </c>
      <c r="BL6" s="137" t="s">
        <v>2</v>
      </c>
      <c r="BM6" s="137" t="s">
        <v>174</v>
      </c>
      <c r="BN6" s="136" t="s">
        <v>1</v>
      </c>
      <c r="BO6" s="137" t="s">
        <v>2</v>
      </c>
      <c r="BP6" s="139"/>
      <c r="BQ6" s="137" t="s">
        <v>2</v>
      </c>
      <c r="BR6" s="137" t="s">
        <v>2</v>
      </c>
      <c r="BS6" s="136" t="s">
        <v>1</v>
      </c>
      <c r="BT6" s="137" t="s">
        <v>2</v>
      </c>
      <c r="BU6" s="136" t="s">
        <v>174</v>
      </c>
      <c r="BV6" s="137" t="s">
        <v>1</v>
      </c>
      <c r="BW6" s="136" t="s">
        <v>174</v>
      </c>
      <c r="BX6" s="137" t="s">
        <v>1</v>
      </c>
      <c r="BY6" s="136" t="s">
        <v>2</v>
      </c>
      <c r="BZ6" s="137" t="s">
        <v>174</v>
      </c>
      <c r="CA6" s="139"/>
      <c r="CB6" s="137" t="s">
        <v>2</v>
      </c>
      <c r="CC6" s="137" t="s">
        <v>251</v>
      </c>
      <c r="CD6" s="136" t="s">
        <v>1</v>
      </c>
      <c r="CE6" s="137" t="s">
        <v>2</v>
      </c>
      <c r="CF6" s="137" t="s">
        <v>251</v>
      </c>
      <c r="CG6" s="136" t="s">
        <v>1</v>
      </c>
      <c r="CH6" s="137" t="s">
        <v>2</v>
      </c>
      <c r="CI6" s="137" t="s">
        <v>251</v>
      </c>
      <c r="CJ6" s="136" t="s">
        <v>1</v>
      </c>
      <c r="CK6" s="139"/>
      <c r="CL6" s="137" t="s">
        <v>2</v>
      </c>
      <c r="CM6" s="137" t="s">
        <v>251</v>
      </c>
      <c r="CN6" s="136" t="s">
        <v>1</v>
      </c>
      <c r="CO6" s="137" t="s">
        <v>2</v>
      </c>
      <c r="CP6" s="137" t="s">
        <v>251</v>
      </c>
      <c r="CQ6" s="136" t="s">
        <v>1</v>
      </c>
      <c r="CR6" s="137" t="s">
        <v>2</v>
      </c>
      <c r="CS6" s="137" t="s">
        <v>251</v>
      </c>
      <c r="CT6" s="136" t="s">
        <v>1</v>
      </c>
      <c r="CU6" s="137" t="s">
        <v>2</v>
      </c>
      <c r="CV6" s="137" t="s">
        <v>251</v>
      </c>
      <c r="CW6" s="136" t="s">
        <v>1</v>
      </c>
      <c r="CX6" s="137" t="s">
        <v>2</v>
      </c>
      <c r="CY6" s="139"/>
      <c r="CZ6" s="137" t="s">
        <v>251</v>
      </c>
      <c r="DA6" s="136" t="s">
        <v>1</v>
      </c>
      <c r="DB6" s="137" t="s">
        <v>2</v>
      </c>
      <c r="DC6" s="137" t="s">
        <v>251</v>
      </c>
      <c r="DD6" s="136" t="s">
        <v>1</v>
      </c>
      <c r="DE6" s="137" t="s">
        <v>2</v>
      </c>
      <c r="DF6" s="137" t="s">
        <v>251</v>
      </c>
      <c r="DG6" s="136" t="s">
        <v>1</v>
      </c>
      <c r="DH6" s="137" t="s">
        <v>2</v>
      </c>
      <c r="DI6" s="137" t="s">
        <v>251</v>
      </c>
      <c r="DJ6" s="136" t="s">
        <v>1</v>
      </c>
      <c r="DK6" s="137" t="s">
        <v>2</v>
      </c>
      <c r="DL6" s="137" t="s">
        <v>251</v>
      </c>
      <c r="DM6" s="139"/>
      <c r="DN6" s="136" t="s">
        <v>1</v>
      </c>
      <c r="DO6" s="137" t="s">
        <v>2</v>
      </c>
      <c r="DP6" s="137" t="s">
        <v>251</v>
      </c>
      <c r="DQ6" s="137" t="s">
        <v>251</v>
      </c>
      <c r="DR6" s="136" t="s">
        <v>1</v>
      </c>
      <c r="DS6" s="137" t="s">
        <v>2</v>
      </c>
      <c r="DT6" s="137" t="s">
        <v>251</v>
      </c>
      <c r="DU6" s="136" t="s">
        <v>1</v>
      </c>
      <c r="DV6" s="137" t="s">
        <v>2</v>
      </c>
      <c r="DW6" s="137" t="s">
        <v>251</v>
      </c>
      <c r="DX6" s="136" t="s">
        <v>1</v>
      </c>
      <c r="DY6" s="137" t="s">
        <v>2</v>
      </c>
      <c r="DZ6" s="137" t="s">
        <v>251</v>
      </c>
      <c r="EA6" s="136" t="s">
        <v>1</v>
      </c>
    </row>
    <row r="7" spans="1:143" x14ac:dyDescent="0.25">
      <c r="A7" s="130" t="s">
        <v>5</v>
      </c>
      <c r="B7" s="130"/>
      <c r="C7" s="130">
        <v>1</v>
      </c>
      <c r="D7" s="131">
        <v>45615</v>
      </c>
      <c r="E7" s="132" t="s">
        <v>37</v>
      </c>
      <c r="F7" s="132" t="s">
        <v>37</v>
      </c>
      <c r="G7" s="132">
        <v>0.5</v>
      </c>
      <c r="H7" s="132">
        <v>0.5</v>
      </c>
      <c r="I7" s="132">
        <v>0.5</v>
      </c>
      <c r="J7" s="132">
        <v>1</v>
      </c>
      <c r="K7" s="132">
        <v>0.5</v>
      </c>
      <c r="L7" s="132">
        <v>0.5</v>
      </c>
      <c r="M7" s="139"/>
      <c r="N7" s="132">
        <v>1</v>
      </c>
      <c r="O7" s="132">
        <v>0</v>
      </c>
      <c r="P7" s="132">
        <v>0</v>
      </c>
      <c r="Q7" s="132">
        <v>0</v>
      </c>
      <c r="R7" s="132">
        <v>0</v>
      </c>
      <c r="S7" s="132" t="s">
        <v>37</v>
      </c>
      <c r="T7" s="132">
        <v>0</v>
      </c>
      <c r="U7" s="132" t="s">
        <v>37</v>
      </c>
      <c r="V7" s="139"/>
      <c r="W7" s="132" t="s">
        <v>37</v>
      </c>
      <c r="X7" s="132" t="s">
        <v>37</v>
      </c>
      <c r="Y7" s="132">
        <v>0</v>
      </c>
      <c r="Z7" s="132">
        <v>0</v>
      </c>
      <c r="AA7" s="132">
        <v>0</v>
      </c>
      <c r="AB7" s="132">
        <v>0</v>
      </c>
      <c r="AC7" s="132">
        <v>1</v>
      </c>
      <c r="AD7" s="132">
        <v>0</v>
      </c>
      <c r="AE7" s="132">
        <v>0</v>
      </c>
      <c r="AF7" s="139"/>
      <c r="AG7" s="132">
        <v>0.5</v>
      </c>
      <c r="AH7" s="132">
        <v>0.5</v>
      </c>
      <c r="AI7" s="132">
        <v>0.5</v>
      </c>
      <c r="AJ7" s="132">
        <v>0.5</v>
      </c>
      <c r="AK7" s="132">
        <v>0.5</v>
      </c>
      <c r="AL7" s="132">
        <v>0.5</v>
      </c>
      <c r="AM7" s="132" t="s">
        <v>37</v>
      </c>
      <c r="AN7" s="132" t="s">
        <v>37</v>
      </c>
      <c r="AO7" s="132">
        <v>0.5</v>
      </c>
      <c r="AP7" s="139"/>
      <c r="AQ7" s="132">
        <v>0.5</v>
      </c>
      <c r="AR7" s="132">
        <v>0.5</v>
      </c>
      <c r="AS7" s="132">
        <v>0</v>
      </c>
      <c r="AT7" s="132">
        <v>0</v>
      </c>
      <c r="AU7" s="132">
        <v>0</v>
      </c>
      <c r="AV7" s="132">
        <v>0</v>
      </c>
      <c r="AW7" s="132">
        <v>0</v>
      </c>
      <c r="AX7" s="132">
        <v>0</v>
      </c>
      <c r="AY7" s="132">
        <v>1</v>
      </c>
      <c r="AZ7" s="132">
        <v>1</v>
      </c>
      <c r="BA7" s="139"/>
      <c r="BB7" s="132">
        <v>0.75</v>
      </c>
      <c r="BC7" s="132">
        <v>0.75</v>
      </c>
      <c r="BD7" s="132">
        <v>0.75</v>
      </c>
      <c r="BE7" s="132">
        <v>0.75</v>
      </c>
      <c r="BF7" s="132">
        <v>0.75</v>
      </c>
      <c r="BG7" s="132">
        <v>0.75</v>
      </c>
      <c r="BH7" s="132">
        <v>0.75</v>
      </c>
      <c r="BI7" s="132">
        <v>0.75</v>
      </c>
      <c r="BJ7" s="132">
        <v>0.75</v>
      </c>
      <c r="BK7" s="132">
        <v>0.75</v>
      </c>
      <c r="BL7" s="132">
        <v>0.75</v>
      </c>
      <c r="BM7" s="132">
        <v>0.75</v>
      </c>
      <c r="BN7" s="132">
        <v>0.75</v>
      </c>
      <c r="BO7" s="132">
        <v>0</v>
      </c>
      <c r="BP7" s="139"/>
      <c r="BQ7" s="132">
        <v>0.75</v>
      </c>
      <c r="BR7" s="132">
        <v>0</v>
      </c>
      <c r="BS7" s="132">
        <v>0.75</v>
      </c>
      <c r="BT7" s="132" t="s">
        <v>37</v>
      </c>
      <c r="BU7" s="132" t="s">
        <v>37</v>
      </c>
      <c r="BV7" s="132" t="s">
        <v>37</v>
      </c>
      <c r="BW7" s="132" t="s">
        <v>37</v>
      </c>
      <c r="BX7" s="132" t="s">
        <v>37</v>
      </c>
      <c r="BY7" s="132" t="s">
        <v>37</v>
      </c>
      <c r="BZ7" s="132" t="s">
        <v>37</v>
      </c>
      <c r="CA7" s="139"/>
      <c r="CB7" s="132">
        <v>0.7</v>
      </c>
      <c r="CC7" s="132">
        <v>0.7</v>
      </c>
      <c r="CD7" s="132">
        <v>0.7</v>
      </c>
      <c r="CE7" s="132">
        <v>0</v>
      </c>
      <c r="CF7" s="132">
        <v>0</v>
      </c>
      <c r="CG7" s="132">
        <v>0.7</v>
      </c>
      <c r="CH7" s="132">
        <v>0.7</v>
      </c>
      <c r="CI7" s="132">
        <v>0.7</v>
      </c>
      <c r="CJ7" s="132">
        <v>0.7</v>
      </c>
      <c r="CK7" s="139"/>
      <c r="CL7" s="132">
        <v>0</v>
      </c>
      <c r="CM7" s="132">
        <v>0.7</v>
      </c>
      <c r="CN7" s="132">
        <v>0.7</v>
      </c>
      <c r="CO7" s="132">
        <v>0.7</v>
      </c>
      <c r="CP7" s="132">
        <v>0.7</v>
      </c>
      <c r="CQ7" s="132">
        <v>0.7</v>
      </c>
      <c r="CR7" s="132">
        <v>0</v>
      </c>
      <c r="CS7" s="132">
        <v>0.7</v>
      </c>
      <c r="CT7" s="132">
        <v>0</v>
      </c>
      <c r="CU7" s="132" t="s">
        <v>37</v>
      </c>
      <c r="CV7" s="132">
        <v>0</v>
      </c>
      <c r="CW7" s="132">
        <v>0.7</v>
      </c>
      <c r="CX7" s="132">
        <v>0.7</v>
      </c>
      <c r="CY7" s="139"/>
      <c r="CZ7" s="109">
        <v>0.7</v>
      </c>
      <c r="DA7" s="109" t="s">
        <v>37</v>
      </c>
      <c r="DB7" s="133" t="s">
        <v>37</v>
      </c>
      <c r="DC7" s="109">
        <v>0.7</v>
      </c>
      <c r="DD7" s="133">
        <v>0.7</v>
      </c>
      <c r="DE7" s="132">
        <v>0.7</v>
      </c>
      <c r="DF7" s="132">
        <v>0.7</v>
      </c>
      <c r="DG7" s="132">
        <v>0.7</v>
      </c>
      <c r="DH7" s="132">
        <v>0</v>
      </c>
      <c r="DI7" s="132">
        <v>0</v>
      </c>
      <c r="DJ7" s="132">
        <v>0.7</v>
      </c>
      <c r="DK7" s="132">
        <v>0.7</v>
      </c>
      <c r="DL7" s="132">
        <v>0.7</v>
      </c>
      <c r="DM7" s="139"/>
      <c r="DN7" s="132">
        <v>0.7</v>
      </c>
      <c r="DO7" s="132">
        <v>0.7</v>
      </c>
      <c r="DP7" s="109" t="s">
        <v>37</v>
      </c>
      <c r="DQ7" s="133" t="s">
        <v>37</v>
      </c>
      <c r="DR7" s="109" t="s">
        <v>37</v>
      </c>
      <c r="DS7" s="133" t="s">
        <v>37</v>
      </c>
      <c r="DT7" s="132">
        <v>0.7</v>
      </c>
      <c r="DU7" s="132">
        <v>0.7</v>
      </c>
      <c r="DV7" s="132">
        <v>0</v>
      </c>
      <c r="DW7" s="132">
        <v>0.7</v>
      </c>
      <c r="DX7" s="132">
        <v>0</v>
      </c>
      <c r="DY7" s="132">
        <v>0.7</v>
      </c>
      <c r="DZ7" s="132">
        <v>0.7</v>
      </c>
      <c r="EA7" s="132">
        <v>0</v>
      </c>
      <c r="EB7" s="5">
        <f t="shared" ref="EB7:EB24" si="0">SUM(E7:EA7)</f>
        <v>44.950000000000045</v>
      </c>
      <c r="EC7" s="5">
        <v>8</v>
      </c>
      <c r="ED7" s="5">
        <f>EC7*8</f>
        <v>64</v>
      </c>
      <c r="EE7" s="7">
        <f>ED7-EB7</f>
        <v>19.049999999999955</v>
      </c>
      <c r="EF7" s="40" t="str">
        <f>IF(EE7&gt;0, "", "NO")</f>
        <v/>
      </c>
      <c r="EG7" s="41" t="str">
        <f t="shared" ref="EG7:EG24" si="1">IF(EE7&gt;0, "", A7)</f>
        <v/>
      </c>
    </row>
    <row r="8" spans="1:143" x14ac:dyDescent="0.25">
      <c r="A8" s="130" t="s">
        <v>6</v>
      </c>
      <c r="B8" s="130"/>
      <c r="C8" s="130">
        <v>2</v>
      </c>
      <c r="D8" s="131">
        <v>45615</v>
      </c>
      <c r="E8" s="132" t="s">
        <v>37</v>
      </c>
      <c r="F8" s="132" t="s">
        <v>37</v>
      </c>
      <c r="G8" s="132">
        <v>0.5</v>
      </c>
      <c r="H8" s="132">
        <v>0.5</v>
      </c>
      <c r="I8" s="132">
        <v>0.5</v>
      </c>
      <c r="J8" s="132">
        <v>1</v>
      </c>
      <c r="K8" s="132">
        <v>0.5</v>
      </c>
      <c r="L8" s="132">
        <v>0.5</v>
      </c>
      <c r="M8" s="139"/>
      <c r="N8" s="132">
        <v>1</v>
      </c>
      <c r="O8" s="132">
        <v>1</v>
      </c>
      <c r="P8" s="132">
        <v>0</v>
      </c>
      <c r="Q8" s="132">
        <v>0</v>
      </c>
      <c r="R8" s="132">
        <v>0</v>
      </c>
      <c r="S8" s="132" t="s">
        <v>37</v>
      </c>
      <c r="T8" s="132">
        <v>0</v>
      </c>
      <c r="U8" s="132" t="s">
        <v>37</v>
      </c>
      <c r="V8" s="139"/>
      <c r="W8" s="132" t="s">
        <v>37</v>
      </c>
      <c r="X8" s="132" t="s">
        <v>37</v>
      </c>
      <c r="Y8" s="132">
        <v>0</v>
      </c>
      <c r="Z8" s="132">
        <v>0</v>
      </c>
      <c r="AA8" s="132">
        <v>0</v>
      </c>
      <c r="AB8" s="132">
        <v>0</v>
      </c>
      <c r="AC8" s="132">
        <v>1</v>
      </c>
      <c r="AD8" s="132">
        <v>0</v>
      </c>
      <c r="AE8" s="132">
        <v>0</v>
      </c>
      <c r="AF8" s="139"/>
      <c r="AG8" s="132">
        <v>0.5</v>
      </c>
      <c r="AH8" s="132">
        <v>0.5</v>
      </c>
      <c r="AI8" s="132">
        <v>0.5</v>
      </c>
      <c r="AJ8" s="132">
        <v>0.5</v>
      </c>
      <c r="AK8" s="132">
        <v>0.5</v>
      </c>
      <c r="AL8" s="132">
        <v>0.5</v>
      </c>
      <c r="AM8" s="132" t="s">
        <v>37</v>
      </c>
      <c r="AN8" s="132" t="s">
        <v>37</v>
      </c>
      <c r="AO8" s="132">
        <v>0.5</v>
      </c>
      <c r="AP8" s="139"/>
      <c r="AQ8" s="132">
        <v>0.5</v>
      </c>
      <c r="AR8" s="132">
        <v>0.5</v>
      </c>
      <c r="AS8" s="132">
        <v>0</v>
      </c>
      <c r="AT8" s="132">
        <v>0</v>
      </c>
      <c r="AU8" s="132">
        <v>0</v>
      </c>
      <c r="AV8" s="132">
        <v>0</v>
      </c>
      <c r="AW8" s="132">
        <v>0</v>
      </c>
      <c r="AX8" s="132">
        <v>0</v>
      </c>
      <c r="AY8" s="132">
        <v>1</v>
      </c>
      <c r="AZ8" s="132">
        <v>1</v>
      </c>
      <c r="BA8" s="139"/>
      <c r="BB8" s="132">
        <v>0.75</v>
      </c>
      <c r="BC8" s="132">
        <v>0.75</v>
      </c>
      <c r="BD8" s="132">
        <v>0.75</v>
      </c>
      <c r="BE8" s="132">
        <v>0.75</v>
      </c>
      <c r="BF8" s="132">
        <v>0.75</v>
      </c>
      <c r="BG8" s="132">
        <v>0.75</v>
      </c>
      <c r="BH8" s="132">
        <v>0.75</v>
      </c>
      <c r="BI8" s="132">
        <v>0.75</v>
      </c>
      <c r="BJ8" s="132">
        <v>0.75</v>
      </c>
      <c r="BK8" s="132">
        <v>0.75</v>
      </c>
      <c r="BL8" s="132">
        <v>0.75</v>
      </c>
      <c r="BM8" s="132">
        <v>0.75</v>
      </c>
      <c r="BN8" s="132">
        <v>0.75</v>
      </c>
      <c r="BO8" s="132">
        <v>0</v>
      </c>
      <c r="BP8" s="139"/>
      <c r="BQ8" s="132">
        <v>0.75</v>
      </c>
      <c r="BR8" s="132">
        <v>0</v>
      </c>
      <c r="BS8" s="132">
        <v>0.75</v>
      </c>
      <c r="BT8" s="132" t="s">
        <v>37</v>
      </c>
      <c r="BU8" s="132" t="s">
        <v>37</v>
      </c>
      <c r="BV8" s="132" t="s">
        <v>37</v>
      </c>
      <c r="BW8" s="132" t="s">
        <v>37</v>
      </c>
      <c r="BX8" s="132" t="s">
        <v>37</v>
      </c>
      <c r="BY8" s="132" t="s">
        <v>37</v>
      </c>
      <c r="BZ8" s="132" t="s">
        <v>37</v>
      </c>
      <c r="CA8" s="139"/>
      <c r="CB8" s="132">
        <v>0.7</v>
      </c>
      <c r="CC8" s="132">
        <v>0.7</v>
      </c>
      <c r="CD8" s="132">
        <v>0.7</v>
      </c>
      <c r="CE8" s="132">
        <v>0</v>
      </c>
      <c r="CF8" s="132">
        <v>0</v>
      </c>
      <c r="CG8" s="132">
        <v>0.7</v>
      </c>
      <c r="CH8" s="132">
        <v>0.7</v>
      </c>
      <c r="CI8" s="132">
        <v>0.7</v>
      </c>
      <c r="CJ8" s="132">
        <v>0.7</v>
      </c>
      <c r="CK8" s="139"/>
      <c r="CL8" s="132">
        <v>0</v>
      </c>
      <c r="CM8" s="132">
        <v>0.7</v>
      </c>
      <c r="CN8" s="132">
        <v>0.7</v>
      </c>
      <c r="CO8" s="132">
        <v>0.7</v>
      </c>
      <c r="CP8" s="132">
        <v>0.7</v>
      </c>
      <c r="CQ8" s="132">
        <v>0.7</v>
      </c>
      <c r="CR8" s="132">
        <v>0</v>
      </c>
      <c r="CS8" s="132">
        <v>0.7</v>
      </c>
      <c r="CT8" s="132">
        <v>0</v>
      </c>
      <c r="CU8" s="132" t="s">
        <v>37</v>
      </c>
      <c r="CV8" s="132">
        <v>0</v>
      </c>
      <c r="CW8" s="132">
        <v>0.7</v>
      </c>
      <c r="CX8" s="132">
        <v>0.7</v>
      </c>
      <c r="CY8" s="139"/>
      <c r="CZ8" s="109">
        <v>0.7</v>
      </c>
      <c r="DA8" s="109" t="s">
        <v>37</v>
      </c>
      <c r="DB8" s="133" t="s">
        <v>37</v>
      </c>
      <c r="DC8" s="109">
        <v>0.7</v>
      </c>
      <c r="DD8" s="132">
        <v>0.7</v>
      </c>
      <c r="DE8" s="132">
        <v>0.7</v>
      </c>
      <c r="DF8" s="132">
        <v>0.7</v>
      </c>
      <c r="DG8" s="132">
        <v>0.7</v>
      </c>
      <c r="DH8" s="132">
        <v>0</v>
      </c>
      <c r="DI8" s="132">
        <v>0</v>
      </c>
      <c r="DJ8" s="132">
        <v>0.7</v>
      </c>
      <c r="DK8" s="132">
        <v>0.7</v>
      </c>
      <c r="DL8" s="132">
        <v>0.7</v>
      </c>
      <c r="DM8" s="139"/>
      <c r="DN8" s="132">
        <v>0.7</v>
      </c>
      <c r="DO8" s="132">
        <v>0.7</v>
      </c>
      <c r="DP8" s="109" t="s">
        <v>37</v>
      </c>
      <c r="DQ8" s="133" t="s">
        <v>37</v>
      </c>
      <c r="DR8" s="109" t="s">
        <v>37</v>
      </c>
      <c r="DS8" s="133" t="s">
        <v>37</v>
      </c>
      <c r="DT8" s="132">
        <v>0.7</v>
      </c>
      <c r="DU8" s="132">
        <v>0.7</v>
      </c>
      <c r="DV8" s="132">
        <v>0</v>
      </c>
      <c r="DW8" s="132">
        <v>0.7</v>
      </c>
      <c r="DX8" s="132">
        <v>0</v>
      </c>
      <c r="DY8" s="132">
        <v>0.7</v>
      </c>
      <c r="DZ8" s="132">
        <v>0.7</v>
      </c>
      <c r="EA8" s="132">
        <v>0</v>
      </c>
      <c r="EB8" s="5">
        <f t="shared" si="0"/>
        <v>45.950000000000045</v>
      </c>
      <c r="EC8" s="5">
        <v>8</v>
      </c>
      <c r="ED8" s="5">
        <f t="shared" ref="ED8:ED23" si="2">EC8*8</f>
        <v>64</v>
      </c>
      <c r="EE8" s="7">
        <f t="shared" ref="EE8:EE23" si="3">ED8-EB8</f>
        <v>18.049999999999955</v>
      </c>
      <c r="EF8" s="40" t="str">
        <f t="shared" ref="EF8:EF23" si="4">IF(EE8&gt;0, "","NO")</f>
        <v/>
      </c>
      <c r="EG8" s="41" t="str">
        <f t="shared" si="1"/>
        <v/>
      </c>
    </row>
    <row r="9" spans="1:143" x14ac:dyDescent="0.25">
      <c r="A9" s="130" t="s">
        <v>9</v>
      </c>
      <c r="B9" s="130"/>
      <c r="C9" s="130">
        <v>3</v>
      </c>
      <c r="D9" s="131">
        <v>45731</v>
      </c>
      <c r="E9" s="132" t="s">
        <v>37</v>
      </c>
      <c r="F9" s="132" t="s">
        <v>37</v>
      </c>
      <c r="G9" s="132">
        <v>0.5</v>
      </c>
      <c r="H9" s="132">
        <v>0.5</v>
      </c>
      <c r="I9" s="132">
        <v>1</v>
      </c>
      <c r="J9" s="132">
        <v>0.5</v>
      </c>
      <c r="K9" s="132">
        <v>0.5</v>
      </c>
      <c r="L9" s="132">
        <v>1</v>
      </c>
      <c r="M9" s="139"/>
      <c r="N9" s="132">
        <v>0</v>
      </c>
      <c r="O9" s="132">
        <v>1</v>
      </c>
      <c r="P9" s="132">
        <v>1</v>
      </c>
      <c r="Q9" s="132">
        <v>1</v>
      </c>
      <c r="R9" s="132">
        <v>1</v>
      </c>
      <c r="S9" s="132" t="s">
        <v>37</v>
      </c>
      <c r="T9" s="132">
        <v>0</v>
      </c>
      <c r="U9" s="132" t="s">
        <v>37</v>
      </c>
      <c r="V9" s="139"/>
      <c r="W9" s="132" t="s">
        <v>37</v>
      </c>
      <c r="X9" s="132" t="s">
        <v>37</v>
      </c>
      <c r="Y9" s="132">
        <v>1</v>
      </c>
      <c r="Z9" s="132">
        <v>1</v>
      </c>
      <c r="AA9" s="132">
        <v>1</v>
      </c>
      <c r="AB9" s="132">
        <v>1</v>
      </c>
      <c r="AC9" s="132">
        <v>1</v>
      </c>
      <c r="AD9" s="132">
        <v>0</v>
      </c>
      <c r="AE9" s="132">
        <v>1</v>
      </c>
      <c r="AF9" s="139"/>
      <c r="AG9" s="132">
        <v>1</v>
      </c>
      <c r="AH9" s="132">
        <v>1</v>
      </c>
      <c r="AI9" s="132">
        <v>0.5</v>
      </c>
      <c r="AJ9" s="132">
        <v>0.5</v>
      </c>
      <c r="AK9" s="132">
        <v>0.5</v>
      </c>
      <c r="AL9" s="132">
        <v>0.5</v>
      </c>
      <c r="AM9" s="132" t="s">
        <v>37</v>
      </c>
      <c r="AN9" s="132" t="s">
        <v>37</v>
      </c>
      <c r="AO9" s="132">
        <v>0.5</v>
      </c>
      <c r="AP9" s="139"/>
      <c r="AQ9" s="132">
        <v>0.5</v>
      </c>
      <c r="AR9" s="132">
        <v>0.5</v>
      </c>
      <c r="AS9" s="132">
        <v>0</v>
      </c>
      <c r="AT9" s="132">
        <v>0</v>
      </c>
      <c r="AU9" s="132">
        <v>1</v>
      </c>
      <c r="AV9" s="132">
        <v>1</v>
      </c>
      <c r="AW9" s="132">
        <v>1</v>
      </c>
      <c r="AX9" s="132">
        <v>1</v>
      </c>
      <c r="AY9" s="132">
        <v>1</v>
      </c>
      <c r="AZ9" s="132">
        <v>1</v>
      </c>
      <c r="BA9" s="139"/>
      <c r="BB9" s="132">
        <v>0.75</v>
      </c>
      <c r="BC9" s="132">
        <v>0</v>
      </c>
      <c r="BD9" s="132">
        <v>0</v>
      </c>
      <c r="BE9" s="132">
        <v>0.75</v>
      </c>
      <c r="BF9" s="132">
        <v>0.75</v>
      </c>
      <c r="BG9" s="132">
        <v>0.75</v>
      </c>
      <c r="BH9" s="132">
        <v>0</v>
      </c>
      <c r="BI9" s="132">
        <v>0</v>
      </c>
      <c r="BJ9" s="132">
        <v>0.75</v>
      </c>
      <c r="BK9" s="132">
        <v>0.75</v>
      </c>
      <c r="BL9" s="132">
        <v>0</v>
      </c>
      <c r="BM9" s="132">
        <v>0.75</v>
      </c>
      <c r="BN9" s="132">
        <v>0</v>
      </c>
      <c r="BO9" s="132">
        <v>0.75</v>
      </c>
      <c r="BP9" s="139"/>
      <c r="BQ9" s="132">
        <v>0.75</v>
      </c>
      <c r="BR9" s="132">
        <v>0</v>
      </c>
      <c r="BS9" s="132">
        <v>0</v>
      </c>
      <c r="BT9" s="132" t="s">
        <v>37</v>
      </c>
      <c r="BU9" s="132" t="s">
        <v>37</v>
      </c>
      <c r="BV9" s="132" t="s">
        <v>37</v>
      </c>
      <c r="BW9" s="132" t="s">
        <v>37</v>
      </c>
      <c r="BX9" s="132" t="s">
        <v>37</v>
      </c>
      <c r="BY9" s="132" t="s">
        <v>37</v>
      </c>
      <c r="BZ9" s="132" t="s">
        <v>37</v>
      </c>
      <c r="CA9" s="139"/>
      <c r="CB9" s="132">
        <v>0</v>
      </c>
      <c r="CC9" s="132">
        <v>0</v>
      </c>
      <c r="CD9" s="132">
        <v>0</v>
      </c>
      <c r="CE9" s="132">
        <v>0</v>
      </c>
      <c r="CF9" s="132">
        <v>0</v>
      </c>
      <c r="CG9" s="132">
        <v>0</v>
      </c>
      <c r="CH9" s="132">
        <v>0</v>
      </c>
      <c r="CI9" s="132">
        <v>0</v>
      </c>
      <c r="CJ9" s="132">
        <v>0</v>
      </c>
      <c r="CK9" s="139"/>
      <c r="CL9" s="132">
        <v>0.7</v>
      </c>
      <c r="CM9" s="132">
        <v>0.7</v>
      </c>
      <c r="CN9" s="132">
        <v>0.7</v>
      </c>
      <c r="CO9" s="132">
        <v>0</v>
      </c>
      <c r="CP9" s="132">
        <v>0.7</v>
      </c>
      <c r="CQ9" s="132">
        <v>0.7</v>
      </c>
      <c r="CR9" s="132">
        <v>0.7</v>
      </c>
      <c r="CS9" s="132">
        <v>0</v>
      </c>
      <c r="CT9" s="132">
        <v>0</v>
      </c>
      <c r="CU9" s="132" t="s">
        <v>37</v>
      </c>
      <c r="CV9" s="132">
        <v>0.7</v>
      </c>
      <c r="CW9" s="132">
        <v>0</v>
      </c>
      <c r="CX9" s="132">
        <v>0</v>
      </c>
      <c r="CY9" s="139"/>
      <c r="CZ9" s="109">
        <v>0</v>
      </c>
      <c r="DA9" s="109" t="s">
        <v>37</v>
      </c>
      <c r="DB9" s="133" t="s">
        <v>37</v>
      </c>
      <c r="DC9" s="109">
        <v>0</v>
      </c>
      <c r="DD9" s="132">
        <v>0</v>
      </c>
      <c r="DE9" s="132">
        <v>0.7</v>
      </c>
      <c r="DF9" s="132">
        <v>0</v>
      </c>
      <c r="DG9" s="132">
        <v>0</v>
      </c>
      <c r="DH9" s="132">
        <v>0</v>
      </c>
      <c r="DI9" s="132">
        <v>0.7</v>
      </c>
      <c r="DJ9" s="132">
        <v>0.7</v>
      </c>
      <c r="DK9" s="132">
        <v>0</v>
      </c>
      <c r="DL9" s="150">
        <v>0.7</v>
      </c>
      <c r="DM9" s="139"/>
      <c r="DN9" s="132">
        <v>0</v>
      </c>
      <c r="DO9" s="132">
        <v>0</v>
      </c>
      <c r="DP9" s="109" t="s">
        <v>37</v>
      </c>
      <c r="DQ9" s="133" t="s">
        <v>37</v>
      </c>
      <c r="DR9" s="109" t="s">
        <v>37</v>
      </c>
      <c r="DS9" s="133" t="s">
        <v>37</v>
      </c>
      <c r="DT9" s="132">
        <v>0</v>
      </c>
      <c r="DU9" s="132">
        <v>0</v>
      </c>
      <c r="DV9" s="132">
        <v>0.7</v>
      </c>
      <c r="DW9" s="132">
        <v>0</v>
      </c>
      <c r="DX9" s="132">
        <v>0</v>
      </c>
      <c r="DY9" s="132">
        <v>0.7</v>
      </c>
      <c r="DZ9" s="132">
        <v>0.7</v>
      </c>
      <c r="EA9" s="132">
        <v>0</v>
      </c>
      <c r="EB9" s="5">
        <f t="shared" si="0"/>
        <v>42.05000000000004</v>
      </c>
      <c r="EC9" s="5">
        <v>5</v>
      </c>
      <c r="ED9" s="5">
        <f t="shared" si="2"/>
        <v>40</v>
      </c>
      <c r="EE9" s="7">
        <f t="shared" si="3"/>
        <v>-2.0500000000000398</v>
      </c>
      <c r="EF9" s="40" t="str">
        <f>IF(EE9&gt;0, "","NO")</f>
        <v>NO</v>
      </c>
      <c r="EG9" s="41" t="str">
        <f t="shared" si="1"/>
        <v>جاب الله ريماس</v>
      </c>
    </row>
    <row r="10" spans="1:143" x14ac:dyDescent="0.25">
      <c r="A10" s="130" t="s">
        <v>10</v>
      </c>
      <c r="B10" s="130"/>
      <c r="C10" s="130">
        <v>4</v>
      </c>
      <c r="D10" s="131">
        <v>45731</v>
      </c>
      <c r="E10" s="132" t="s">
        <v>37</v>
      </c>
      <c r="F10" s="132" t="s">
        <v>37</v>
      </c>
      <c r="G10" s="132">
        <v>0.5</v>
      </c>
      <c r="H10" s="132">
        <v>0.5</v>
      </c>
      <c r="I10" s="132">
        <v>1</v>
      </c>
      <c r="J10" s="132">
        <v>0.5</v>
      </c>
      <c r="K10" s="132">
        <v>0.5</v>
      </c>
      <c r="L10" s="132">
        <v>1</v>
      </c>
      <c r="M10" s="139"/>
      <c r="N10" s="132">
        <v>0</v>
      </c>
      <c r="O10" s="132">
        <v>1</v>
      </c>
      <c r="P10" s="132">
        <v>1</v>
      </c>
      <c r="Q10" s="132">
        <v>1</v>
      </c>
      <c r="R10" s="132">
        <v>1</v>
      </c>
      <c r="S10" s="132" t="s">
        <v>37</v>
      </c>
      <c r="T10" s="132">
        <v>0</v>
      </c>
      <c r="U10" s="132" t="s">
        <v>37</v>
      </c>
      <c r="V10" s="139"/>
      <c r="W10" s="132" t="s">
        <v>37</v>
      </c>
      <c r="X10" s="132" t="s">
        <v>37</v>
      </c>
      <c r="Y10" s="132">
        <v>1</v>
      </c>
      <c r="Z10" s="132">
        <v>1</v>
      </c>
      <c r="AA10" s="132">
        <v>1</v>
      </c>
      <c r="AB10" s="132">
        <v>1</v>
      </c>
      <c r="AC10" s="132">
        <v>1</v>
      </c>
      <c r="AD10" s="132">
        <v>0</v>
      </c>
      <c r="AE10" s="132">
        <v>1</v>
      </c>
      <c r="AF10" s="139"/>
      <c r="AG10" s="132">
        <v>1</v>
      </c>
      <c r="AH10" s="132">
        <v>1</v>
      </c>
      <c r="AI10" s="132">
        <v>0.5</v>
      </c>
      <c r="AJ10" s="132">
        <v>0.5</v>
      </c>
      <c r="AK10" s="132">
        <v>0.5</v>
      </c>
      <c r="AL10" s="132">
        <v>0.5</v>
      </c>
      <c r="AM10" s="132" t="s">
        <v>37</v>
      </c>
      <c r="AN10" s="132" t="s">
        <v>37</v>
      </c>
      <c r="AO10" s="132">
        <v>0.5</v>
      </c>
      <c r="AP10" s="139"/>
      <c r="AQ10" s="132">
        <v>0.5</v>
      </c>
      <c r="AR10" s="132">
        <v>0.5</v>
      </c>
      <c r="AS10" s="132">
        <v>0</v>
      </c>
      <c r="AT10" s="132">
        <v>0</v>
      </c>
      <c r="AU10" s="132">
        <v>1</v>
      </c>
      <c r="AV10" s="132">
        <v>1</v>
      </c>
      <c r="AW10" s="132">
        <v>1</v>
      </c>
      <c r="AX10" s="132">
        <v>1</v>
      </c>
      <c r="AY10" s="132">
        <v>1</v>
      </c>
      <c r="AZ10" s="132">
        <v>1</v>
      </c>
      <c r="BA10" s="139"/>
      <c r="BB10" s="132">
        <v>0.75</v>
      </c>
      <c r="BC10" s="132">
        <v>0</v>
      </c>
      <c r="BD10" s="132">
        <v>0</v>
      </c>
      <c r="BE10" s="132">
        <v>0.75</v>
      </c>
      <c r="BF10" s="132">
        <v>0.75</v>
      </c>
      <c r="BG10" s="132">
        <v>0.75</v>
      </c>
      <c r="BH10" s="132">
        <v>0</v>
      </c>
      <c r="BI10" s="132">
        <v>0</v>
      </c>
      <c r="BJ10" s="132">
        <v>0.75</v>
      </c>
      <c r="BK10" s="132">
        <v>0.75</v>
      </c>
      <c r="BL10" s="132">
        <v>0</v>
      </c>
      <c r="BM10" s="132">
        <v>0.75</v>
      </c>
      <c r="BN10" s="132">
        <v>0</v>
      </c>
      <c r="BO10" s="132">
        <v>0.75</v>
      </c>
      <c r="BP10" s="139"/>
      <c r="BQ10" s="132">
        <v>0.75</v>
      </c>
      <c r="BR10" s="132">
        <v>0</v>
      </c>
      <c r="BS10" s="132">
        <v>0</v>
      </c>
      <c r="BT10" s="132" t="s">
        <v>37</v>
      </c>
      <c r="BU10" s="132" t="s">
        <v>37</v>
      </c>
      <c r="BV10" s="132" t="s">
        <v>37</v>
      </c>
      <c r="BW10" s="132" t="s">
        <v>37</v>
      </c>
      <c r="BX10" s="132" t="s">
        <v>37</v>
      </c>
      <c r="BY10" s="132" t="s">
        <v>37</v>
      </c>
      <c r="BZ10" s="132" t="s">
        <v>37</v>
      </c>
      <c r="CA10" s="139"/>
      <c r="CB10" s="132">
        <v>0</v>
      </c>
      <c r="CC10" s="132">
        <v>0</v>
      </c>
      <c r="CD10" s="132">
        <v>0</v>
      </c>
      <c r="CE10" s="132">
        <v>0</v>
      </c>
      <c r="CF10" s="132">
        <v>0</v>
      </c>
      <c r="CG10" s="132">
        <v>0</v>
      </c>
      <c r="CH10" s="132">
        <v>0</v>
      </c>
      <c r="CI10" s="132">
        <v>0</v>
      </c>
      <c r="CJ10" s="132">
        <v>0</v>
      </c>
      <c r="CK10" s="139"/>
      <c r="CL10" s="132">
        <v>0.7</v>
      </c>
      <c r="CM10" s="132">
        <v>0.7</v>
      </c>
      <c r="CN10" s="132">
        <v>0.7</v>
      </c>
      <c r="CO10" s="132">
        <v>0</v>
      </c>
      <c r="CP10" s="132">
        <v>0.7</v>
      </c>
      <c r="CQ10" s="132">
        <v>0.7</v>
      </c>
      <c r="CR10" s="132">
        <v>0.7</v>
      </c>
      <c r="CS10" s="132">
        <v>0</v>
      </c>
      <c r="CT10" s="132">
        <v>0.7</v>
      </c>
      <c r="CU10" s="132" t="s">
        <v>37</v>
      </c>
      <c r="CV10" s="132">
        <v>0.7</v>
      </c>
      <c r="CW10" s="132">
        <v>0</v>
      </c>
      <c r="CX10" s="132">
        <v>0</v>
      </c>
      <c r="CY10" s="139"/>
      <c r="CZ10" s="109">
        <v>0</v>
      </c>
      <c r="DA10" s="109" t="s">
        <v>37</v>
      </c>
      <c r="DB10" s="133" t="s">
        <v>37</v>
      </c>
      <c r="DC10" s="109">
        <v>0</v>
      </c>
      <c r="DD10" s="132">
        <v>0</v>
      </c>
      <c r="DE10" s="132">
        <v>0.7</v>
      </c>
      <c r="DF10" s="132">
        <v>0</v>
      </c>
      <c r="DG10" s="132">
        <v>0</v>
      </c>
      <c r="DH10" s="132">
        <v>0</v>
      </c>
      <c r="DI10" s="132">
        <v>0.7</v>
      </c>
      <c r="DJ10" s="132">
        <v>0.7</v>
      </c>
      <c r="DK10" s="132">
        <v>0</v>
      </c>
      <c r="DL10" s="149">
        <v>0.7</v>
      </c>
      <c r="DM10" s="139"/>
      <c r="DN10" s="132">
        <v>0</v>
      </c>
      <c r="DO10" s="132">
        <v>0</v>
      </c>
      <c r="DP10" s="109" t="s">
        <v>37</v>
      </c>
      <c r="DQ10" s="133" t="s">
        <v>37</v>
      </c>
      <c r="DR10" s="109" t="s">
        <v>37</v>
      </c>
      <c r="DS10" s="133" t="s">
        <v>37</v>
      </c>
      <c r="DT10" s="132">
        <v>0</v>
      </c>
      <c r="DU10" s="132">
        <v>0</v>
      </c>
      <c r="DV10" s="132">
        <v>0.7</v>
      </c>
      <c r="DW10" s="132">
        <v>0</v>
      </c>
      <c r="DX10" s="132">
        <v>0.7</v>
      </c>
      <c r="DY10" s="132">
        <v>0.7</v>
      </c>
      <c r="DZ10" s="132">
        <v>0.7</v>
      </c>
      <c r="EA10" s="132">
        <v>0</v>
      </c>
      <c r="EB10" s="5">
        <f t="shared" si="0"/>
        <v>43.450000000000045</v>
      </c>
      <c r="EC10" s="5">
        <v>5</v>
      </c>
      <c r="ED10" s="5">
        <f t="shared" si="2"/>
        <v>40</v>
      </c>
      <c r="EE10" s="7">
        <f t="shared" si="3"/>
        <v>-3.4500000000000455</v>
      </c>
      <c r="EF10" s="40" t="str">
        <f t="shared" si="4"/>
        <v>NO</v>
      </c>
      <c r="EG10" s="41" t="str">
        <f t="shared" si="1"/>
        <v>جاب الله لجين</v>
      </c>
    </row>
    <row r="11" spans="1:143" x14ac:dyDescent="0.25">
      <c r="A11" s="130" t="s">
        <v>18</v>
      </c>
      <c r="B11" s="130"/>
      <c r="C11" s="130">
        <v>5</v>
      </c>
      <c r="D11" s="131">
        <v>45689</v>
      </c>
      <c r="E11" s="132">
        <v>1</v>
      </c>
      <c r="F11" s="132">
        <v>1</v>
      </c>
      <c r="G11" s="132">
        <v>1</v>
      </c>
      <c r="H11" s="132">
        <v>1</v>
      </c>
      <c r="I11" s="132">
        <v>1</v>
      </c>
      <c r="J11" s="132">
        <v>1</v>
      </c>
      <c r="K11" s="132">
        <v>1</v>
      </c>
      <c r="L11" s="132">
        <v>1</v>
      </c>
      <c r="M11" s="139"/>
      <c r="N11" s="132">
        <v>0.5</v>
      </c>
      <c r="O11" s="132">
        <v>1</v>
      </c>
      <c r="P11" s="132">
        <v>1</v>
      </c>
      <c r="Q11" s="132">
        <v>0.5</v>
      </c>
      <c r="R11" s="132">
        <v>1</v>
      </c>
      <c r="S11" s="132" t="s">
        <v>37</v>
      </c>
      <c r="T11" s="132">
        <v>1</v>
      </c>
      <c r="U11" s="132" t="s">
        <v>37</v>
      </c>
      <c r="V11" s="139"/>
      <c r="W11" s="132" t="s">
        <v>37</v>
      </c>
      <c r="X11" s="132" t="s">
        <v>37</v>
      </c>
      <c r="Y11" s="132">
        <v>1</v>
      </c>
      <c r="Z11" s="132">
        <v>0</v>
      </c>
      <c r="AA11" s="132">
        <v>1</v>
      </c>
      <c r="AB11" s="132">
        <v>1</v>
      </c>
      <c r="AC11" s="132">
        <v>1</v>
      </c>
      <c r="AD11" s="132">
        <v>1</v>
      </c>
      <c r="AE11" s="132">
        <v>1</v>
      </c>
      <c r="AF11" s="139"/>
      <c r="AG11" s="132">
        <v>1</v>
      </c>
      <c r="AH11" s="132">
        <v>1</v>
      </c>
      <c r="AI11" s="132">
        <v>1</v>
      </c>
      <c r="AJ11" s="132">
        <v>1</v>
      </c>
      <c r="AK11" s="132">
        <v>1</v>
      </c>
      <c r="AL11" s="132">
        <v>1</v>
      </c>
      <c r="AM11" s="132" t="s">
        <v>37</v>
      </c>
      <c r="AN11" s="132" t="s">
        <v>37</v>
      </c>
      <c r="AO11" s="132">
        <v>0.5</v>
      </c>
      <c r="AP11" s="139"/>
      <c r="AQ11" s="132">
        <v>1</v>
      </c>
      <c r="AR11" s="132">
        <v>0.5</v>
      </c>
      <c r="AS11" s="132">
        <v>1</v>
      </c>
      <c r="AT11" s="132">
        <v>1</v>
      </c>
      <c r="AU11" s="132">
        <v>1</v>
      </c>
      <c r="AV11" s="132">
        <v>1</v>
      </c>
      <c r="AW11" s="132">
        <v>0</v>
      </c>
      <c r="AX11" s="132">
        <v>1</v>
      </c>
      <c r="AY11" s="132">
        <v>1</v>
      </c>
      <c r="AZ11" s="132">
        <v>0</v>
      </c>
      <c r="BA11" s="139"/>
      <c r="BB11" s="132">
        <v>0</v>
      </c>
      <c r="BC11" s="132">
        <v>0</v>
      </c>
      <c r="BD11" s="132">
        <v>0</v>
      </c>
      <c r="BE11" s="132">
        <v>0</v>
      </c>
      <c r="BF11" s="132">
        <v>0</v>
      </c>
      <c r="BG11" s="132">
        <v>0</v>
      </c>
      <c r="BH11" s="132">
        <v>0</v>
      </c>
      <c r="BI11" s="132">
        <v>0</v>
      </c>
      <c r="BJ11" s="132">
        <v>0</v>
      </c>
      <c r="BK11" s="132">
        <v>0</v>
      </c>
      <c r="BL11" s="132">
        <v>0</v>
      </c>
      <c r="BM11" s="132">
        <v>0</v>
      </c>
      <c r="BN11" s="132">
        <v>0</v>
      </c>
      <c r="BO11" s="132">
        <v>0</v>
      </c>
      <c r="BP11" s="139"/>
      <c r="BQ11" s="132">
        <v>0</v>
      </c>
      <c r="BR11" s="132">
        <v>0</v>
      </c>
      <c r="BS11" s="132">
        <v>0</v>
      </c>
      <c r="BT11" s="132" t="s">
        <v>37</v>
      </c>
      <c r="BU11" s="132" t="s">
        <v>37</v>
      </c>
      <c r="BV11" s="132" t="s">
        <v>37</v>
      </c>
      <c r="BW11" s="132" t="s">
        <v>37</v>
      </c>
      <c r="BX11" s="132" t="s">
        <v>37</v>
      </c>
      <c r="BY11" s="132" t="s">
        <v>37</v>
      </c>
      <c r="BZ11" s="132" t="s">
        <v>37</v>
      </c>
      <c r="CA11" s="139"/>
      <c r="CB11" s="132">
        <v>0.7</v>
      </c>
      <c r="CC11" s="132">
        <v>0.7</v>
      </c>
      <c r="CD11" s="132">
        <v>0</v>
      </c>
      <c r="CE11" s="132">
        <v>0</v>
      </c>
      <c r="CF11" s="132">
        <v>0</v>
      </c>
      <c r="CG11" s="132">
        <v>0</v>
      </c>
      <c r="CH11" s="132">
        <v>0.7</v>
      </c>
      <c r="CI11" s="132">
        <v>0.7</v>
      </c>
      <c r="CJ11" s="132">
        <v>0.7</v>
      </c>
      <c r="CK11" s="139"/>
      <c r="CL11" s="132">
        <v>0.7</v>
      </c>
      <c r="CM11" s="132">
        <v>0.7</v>
      </c>
      <c r="CN11" s="132">
        <v>0.7</v>
      </c>
      <c r="CO11" s="132">
        <v>0.7</v>
      </c>
      <c r="CP11" s="132">
        <v>0.7</v>
      </c>
      <c r="CQ11" s="132">
        <v>0.7</v>
      </c>
      <c r="CR11" s="132">
        <v>0.7</v>
      </c>
      <c r="CS11" s="132">
        <v>0.7</v>
      </c>
      <c r="CT11" s="132">
        <v>0.7</v>
      </c>
      <c r="CU11" s="132" t="s">
        <v>37</v>
      </c>
      <c r="CV11" s="132">
        <v>0.7</v>
      </c>
      <c r="CW11" s="132">
        <v>0.7</v>
      </c>
      <c r="CX11" s="132">
        <v>0</v>
      </c>
      <c r="CY11" s="139"/>
      <c r="CZ11" s="109">
        <v>0.7</v>
      </c>
      <c r="DA11" s="109" t="s">
        <v>37</v>
      </c>
      <c r="DB11" s="133" t="s">
        <v>37</v>
      </c>
      <c r="DC11" s="109">
        <v>0.7</v>
      </c>
      <c r="DD11" s="132">
        <v>0.7</v>
      </c>
      <c r="DE11" s="132">
        <v>0.7</v>
      </c>
      <c r="DF11" s="132">
        <v>0.7</v>
      </c>
      <c r="DG11" s="132">
        <v>0.7</v>
      </c>
      <c r="DH11" s="132">
        <v>0.7</v>
      </c>
      <c r="DI11" s="132">
        <v>0.7</v>
      </c>
      <c r="DJ11" s="132">
        <v>0.7</v>
      </c>
      <c r="DK11" s="132">
        <v>0.7</v>
      </c>
      <c r="DL11" s="149">
        <v>0.7</v>
      </c>
      <c r="DM11" s="139"/>
      <c r="DN11" s="132">
        <v>0.7</v>
      </c>
      <c r="DO11" s="132">
        <v>0</v>
      </c>
      <c r="DP11" s="109" t="s">
        <v>37</v>
      </c>
      <c r="DQ11" s="133" t="s">
        <v>37</v>
      </c>
      <c r="DR11" s="109" t="s">
        <v>37</v>
      </c>
      <c r="DS11" s="133" t="s">
        <v>37</v>
      </c>
      <c r="DT11" s="132">
        <v>0.7</v>
      </c>
      <c r="DU11" s="132">
        <v>0.7</v>
      </c>
      <c r="DV11" s="132">
        <v>0.7</v>
      </c>
      <c r="DW11" s="132">
        <v>0</v>
      </c>
      <c r="DX11" s="132">
        <v>0</v>
      </c>
      <c r="DY11" s="132">
        <v>0</v>
      </c>
      <c r="DZ11" s="132">
        <v>0.7</v>
      </c>
      <c r="EA11" s="132">
        <v>0.7</v>
      </c>
      <c r="EB11" s="5">
        <f t="shared" si="0"/>
        <v>56.100000000000094</v>
      </c>
      <c r="EC11" s="5">
        <v>7</v>
      </c>
      <c r="ED11" s="5">
        <f t="shared" si="2"/>
        <v>56</v>
      </c>
      <c r="EE11" s="7">
        <f t="shared" si="3"/>
        <v>-0.10000000000009379</v>
      </c>
      <c r="EF11" s="40" t="str">
        <f t="shared" si="4"/>
        <v>NO</v>
      </c>
      <c r="EG11" s="41" t="str">
        <f t="shared" si="1"/>
        <v>سلطاني رؤيا</v>
      </c>
    </row>
    <row r="12" spans="1:143" x14ac:dyDescent="0.25">
      <c r="A12" s="130" t="s">
        <v>19</v>
      </c>
      <c r="B12" s="130"/>
      <c r="C12" s="130">
        <v>6</v>
      </c>
      <c r="D12" s="131">
        <v>45689</v>
      </c>
      <c r="E12" s="132">
        <v>1</v>
      </c>
      <c r="F12" s="132">
        <v>1</v>
      </c>
      <c r="G12" s="132">
        <v>1</v>
      </c>
      <c r="H12" s="132">
        <v>1</v>
      </c>
      <c r="I12" s="132">
        <v>1</v>
      </c>
      <c r="J12" s="132">
        <v>1</v>
      </c>
      <c r="K12" s="132">
        <v>1</v>
      </c>
      <c r="L12" s="132">
        <v>1</v>
      </c>
      <c r="M12" s="139"/>
      <c r="N12" s="132">
        <v>0.5</v>
      </c>
      <c r="O12" s="132">
        <v>1</v>
      </c>
      <c r="P12" s="132">
        <v>1</v>
      </c>
      <c r="Q12" s="132">
        <v>0.5</v>
      </c>
      <c r="R12" s="132">
        <v>1</v>
      </c>
      <c r="S12" s="132" t="s">
        <v>37</v>
      </c>
      <c r="T12" s="132">
        <v>1</v>
      </c>
      <c r="U12" s="132" t="s">
        <v>37</v>
      </c>
      <c r="V12" s="139"/>
      <c r="W12" s="132" t="s">
        <v>37</v>
      </c>
      <c r="X12" s="132" t="s">
        <v>37</v>
      </c>
      <c r="Y12" s="132">
        <v>1</v>
      </c>
      <c r="Z12" s="132">
        <v>0</v>
      </c>
      <c r="AA12" s="132">
        <v>1</v>
      </c>
      <c r="AB12" s="132">
        <v>1</v>
      </c>
      <c r="AC12" s="132">
        <v>1</v>
      </c>
      <c r="AD12" s="132">
        <v>1</v>
      </c>
      <c r="AE12" s="132">
        <v>1</v>
      </c>
      <c r="AF12" s="139"/>
      <c r="AG12" s="132">
        <v>1</v>
      </c>
      <c r="AH12" s="132">
        <v>1</v>
      </c>
      <c r="AI12" s="132">
        <v>1</v>
      </c>
      <c r="AJ12" s="132">
        <v>1</v>
      </c>
      <c r="AK12" s="132">
        <v>1</v>
      </c>
      <c r="AL12" s="132">
        <v>1</v>
      </c>
      <c r="AM12" s="132" t="s">
        <v>37</v>
      </c>
      <c r="AN12" s="132" t="s">
        <v>37</v>
      </c>
      <c r="AO12" s="132">
        <v>0.5</v>
      </c>
      <c r="AP12" s="139"/>
      <c r="AQ12" s="132">
        <v>1</v>
      </c>
      <c r="AR12" s="132">
        <v>0.5</v>
      </c>
      <c r="AS12" s="132">
        <v>1</v>
      </c>
      <c r="AT12" s="132">
        <v>1</v>
      </c>
      <c r="AU12" s="132">
        <v>1</v>
      </c>
      <c r="AV12" s="132">
        <v>1</v>
      </c>
      <c r="AW12" s="132">
        <v>0</v>
      </c>
      <c r="AX12" s="132">
        <v>1</v>
      </c>
      <c r="AY12" s="132">
        <v>1</v>
      </c>
      <c r="AZ12" s="132">
        <v>0</v>
      </c>
      <c r="BA12" s="139"/>
      <c r="BB12" s="132">
        <v>0</v>
      </c>
      <c r="BC12" s="132">
        <v>0</v>
      </c>
      <c r="BD12" s="132">
        <v>0</v>
      </c>
      <c r="BE12" s="132">
        <v>0</v>
      </c>
      <c r="BF12" s="132">
        <v>0</v>
      </c>
      <c r="BG12" s="132">
        <v>0</v>
      </c>
      <c r="BH12" s="132">
        <v>0</v>
      </c>
      <c r="BI12" s="132">
        <v>0</v>
      </c>
      <c r="BJ12" s="132">
        <v>0</v>
      </c>
      <c r="BK12" s="132">
        <v>0</v>
      </c>
      <c r="BL12" s="132">
        <v>0</v>
      </c>
      <c r="BM12" s="132">
        <v>0</v>
      </c>
      <c r="BN12" s="132">
        <v>0</v>
      </c>
      <c r="BO12" s="132">
        <v>0</v>
      </c>
      <c r="BP12" s="139"/>
      <c r="BQ12" s="132">
        <v>0</v>
      </c>
      <c r="BR12" s="132">
        <v>0</v>
      </c>
      <c r="BS12" s="132">
        <v>0</v>
      </c>
      <c r="BT12" s="132" t="s">
        <v>37</v>
      </c>
      <c r="BU12" s="132" t="s">
        <v>37</v>
      </c>
      <c r="BV12" s="132" t="s">
        <v>37</v>
      </c>
      <c r="BW12" s="132" t="s">
        <v>37</v>
      </c>
      <c r="BX12" s="132" t="s">
        <v>37</v>
      </c>
      <c r="BY12" s="132" t="s">
        <v>37</v>
      </c>
      <c r="BZ12" s="132" t="s">
        <v>37</v>
      </c>
      <c r="CA12" s="139"/>
      <c r="CB12" s="132">
        <v>0.7</v>
      </c>
      <c r="CC12" s="132">
        <v>0.7</v>
      </c>
      <c r="CD12" s="132">
        <v>0</v>
      </c>
      <c r="CE12" s="132">
        <v>0</v>
      </c>
      <c r="CF12" s="132">
        <v>0.7</v>
      </c>
      <c r="CG12" s="132">
        <v>0.7</v>
      </c>
      <c r="CH12" s="132">
        <v>0.7</v>
      </c>
      <c r="CI12" s="132">
        <v>0.7</v>
      </c>
      <c r="CJ12" s="132">
        <v>0.7</v>
      </c>
      <c r="CK12" s="139"/>
      <c r="CL12" s="132">
        <v>0.7</v>
      </c>
      <c r="CM12" s="132">
        <v>0.7</v>
      </c>
      <c r="CN12" s="132">
        <v>0.7</v>
      </c>
      <c r="CO12" s="132">
        <v>0.7</v>
      </c>
      <c r="CP12" s="132">
        <v>0.7</v>
      </c>
      <c r="CQ12" s="132">
        <v>0.7</v>
      </c>
      <c r="CR12" s="132">
        <v>0.7</v>
      </c>
      <c r="CS12" s="132">
        <v>0.7</v>
      </c>
      <c r="CT12" s="132">
        <v>0.7</v>
      </c>
      <c r="CU12" s="132" t="s">
        <v>37</v>
      </c>
      <c r="CV12" s="132">
        <v>0.7</v>
      </c>
      <c r="CW12" s="132">
        <v>0.7</v>
      </c>
      <c r="CX12" s="132">
        <v>0</v>
      </c>
      <c r="CY12" s="139"/>
      <c r="CZ12" s="109">
        <v>0.7</v>
      </c>
      <c r="DA12" s="109" t="s">
        <v>37</v>
      </c>
      <c r="DB12" s="133" t="s">
        <v>37</v>
      </c>
      <c r="DC12" s="109">
        <v>0.7</v>
      </c>
      <c r="DD12" s="132">
        <v>0.7</v>
      </c>
      <c r="DE12" s="132">
        <v>0.7</v>
      </c>
      <c r="DF12" s="132">
        <v>0.7</v>
      </c>
      <c r="DG12" s="132">
        <v>0.7</v>
      </c>
      <c r="DH12" s="132">
        <v>0.7</v>
      </c>
      <c r="DI12" s="132">
        <v>0.7</v>
      </c>
      <c r="DJ12" s="132">
        <v>0.7</v>
      </c>
      <c r="DK12" s="132">
        <v>0.7</v>
      </c>
      <c r="DL12" s="149">
        <v>0.7</v>
      </c>
      <c r="DM12" s="139"/>
      <c r="DN12" s="132">
        <v>0.7</v>
      </c>
      <c r="DO12" s="132">
        <v>0</v>
      </c>
      <c r="DP12" s="109" t="s">
        <v>37</v>
      </c>
      <c r="DQ12" s="133" t="s">
        <v>37</v>
      </c>
      <c r="DR12" s="109" t="s">
        <v>37</v>
      </c>
      <c r="DS12" s="133" t="s">
        <v>37</v>
      </c>
      <c r="DT12" s="132">
        <v>0.7</v>
      </c>
      <c r="DU12" s="132">
        <v>0.7</v>
      </c>
      <c r="DV12" s="132">
        <v>0.7</v>
      </c>
      <c r="DW12" s="132">
        <v>0</v>
      </c>
      <c r="DX12" s="132">
        <v>0</v>
      </c>
      <c r="DY12" s="132">
        <v>0</v>
      </c>
      <c r="DZ12" s="132">
        <v>0.7</v>
      </c>
      <c r="EA12" s="132">
        <v>0.7</v>
      </c>
      <c r="EB12" s="5">
        <f t="shared" si="0"/>
        <v>57.500000000000099</v>
      </c>
      <c r="EC12" s="5">
        <v>7</v>
      </c>
      <c r="ED12" s="5">
        <f t="shared" si="2"/>
        <v>56</v>
      </c>
      <c r="EE12" s="7">
        <f t="shared" si="3"/>
        <v>-1.5000000000000995</v>
      </c>
      <c r="EF12" s="40" t="str">
        <f t="shared" si="4"/>
        <v>NO</v>
      </c>
      <c r="EG12" s="41" t="str">
        <f t="shared" si="1"/>
        <v>سلطاني أسماء</v>
      </c>
    </row>
    <row r="13" spans="1:143" x14ac:dyDescent="0.25">
      <c r="A13" s="130" t="s">
        <v>22</v>
      </c>
      <c r="B13" s="130"/>
      <c r="C13" s="130">
        <v>7</v>
      </c>
      <c r="D13" s="131">
        <v>45615</v>
      </c>
      <c r="E13" s="132" t="s">
        <v>37</v>
      </c>
      <c r="F13" s="132" t="s">
        <v>37</v>
      </c>
      <c r="G13" s="132">
        <v>1</v>
      </c>
      <c r="H13" s="132">
        <v>1</v>
      </c>
      <c r="I13" s="132">
        <v>1</v>
      </c>
      <c r="J13" s="132">
        <v>1</v>
      </c>
      <c r="K13" s="132">
        <v>1</v>
      </c>
      <c r="L13" s="132">
        <v>1</v>
      </c>
      <c r="M13" s="139"/>
      <c r="N13" s="132">
        <v>0.5</v>
      </c>
      <c r="O13" s="132">
        <v>0.5</v>
      </c>
      <c r="P13" s="132">
        <v>0.5</v>
      </c>
      <c r="Q13" s="132">
        <v>0.5</v>
      </c>
      <c r="R13" s="132">
        <v>0</v>
      </c>
      <c r="S13" s="132" t="s">
        <v>37</v>
      </c>
      <c r="T13" s="132">
        <v>0</v>
      </c>
      <c r="U13" s="132" t="s">
        <v>37</v>
      </c>
      <c r="V13" s="139"/>
      <c r="W13" s="132" t="s">
        <v>37</v>
      </c>
      <c r="X13" s="132" t="s">
        <v>37</v>
      </c>
      <c r="Y13" s="132">
        <v>1</v>
      </c>
      <c r="Z13" s="132">
        <v>1</v>
      </c>
      <c r="AA13" s="132">
        <v>0</v>
      </c>
      <c r="AB13" s="132">
        <v>1</v>
      </c>
      <c r="AC13" s="132">
        <v>0</v>
      </c>
      <c r="AD13" s="132">
        <v>1</v>
      </c>
      <c r="AE13" s="132">
        <v>1</v>
      </c>
      <c r="AF13" s="139"/>
      <c r="AG13" s="132">
        <v>1</v>
      </c>
      <c r="AH13" s="132">
        <v>1</v>
      </c>
      <c r="AI13" s="132">
        <v>1</v>
      </c>
      <c r="AJ13" s="132">
        <v>0.5</v>
      </c>
      <c r="AK13" s="132">
        <v>0.5</v>
      </c>
      <c r="AL13" s="132">
        <v>0.5</v>
      </c>
      <c r="AM13" s="132" t="s">
        <v>37</v>
      </c>
      <c r="AN13" s="132" t="s">
        <v>37</v>
      </c>
      <c r="AO13" s="132">
        <v>0.5</v>
      </c>
      <c r="AP13" s="139"/>
      <c r="AQ13" s="132">
        <v>0.5</v>
      </c>
      <c r="AR13" s="132">
        <v>0.5</v>
      </c>
      <c r="AS13" s="132">
        <v>1</v>
      </c>
      <c r="AT13" s="132">
        <v>1</v>
      </c>
      <c r="AU13" s="132">
        <v>1</v>
      </c>
      <c r="AV13" s="132">
        <v>1</v>
      </c>
      <c r="AW13" s="132">
        <v>0</v>
      </c>
      <c r="AX13" s="132">
        <v>1</v>
      </c>
      <c r="AY13" s="132">
        <v>1</v>
      </c>
      <c r="AZ13" s="132">
        <v>1</v>
      </c>
      <c r="BA13" s="139"/>
      <c r="BB13" s="132">
        <v>0.75</v>
      </c>
      <c r="BC13" s="132">
        <v>0.75</v>
      </c>
      <c r="BD13" s="132">
        <v>0</v>
      </c>
      <c r="BE13" s="132">
        <v>0.75</v>
      </c>
      <c r="BF13" s="132">
        <v>0.75</v>
      </c>
      <c r="BG13" s="132">
        <v>0.75</v>
      </c>
      <c r="BH13" s="132">
        <v>0.75</v>
      </c>
      <c r="BI13" s="132">
        <v>0.75</v>
      </c>
      <c r="BJ13" s="132">
        <v>0</v>
      </c>
      <c r="BK13" s="132">
        <v>0.75</v>
      </c>
      <c r="BL13" s="132">
        <v>0</v>
      </c>
      <c r="BM13" s="132">
        <v>0</v>
      </c>
      <c r="BN13" s="132">
        <v>0</v>
      </c>
      <c r="BO13" s="132">
        <v>0</v>
      </c>
      <c r="BP13" s="139"/>
      <c r="BQ13" s="132">
        <v>0</v>
      </c>
      <c r="BR13" s="132">
        <v>0</v>
      </c>
      <c r="BS13" s="132">
        <v>0</v>
      </c>
      <c r="BT13" s="132" t="s">
        <v>37</v>
      </c>
      <c r="BU13" s="132" t="s">
        <v>37</v>
      </c>
      <c r="BV13" s="132" t="s">
        <v>37</v>
      </c>
      <c r="BW13" s="132" t="s">
        <v>37</v>
      </c>
      <c r="BX13" s="132" t="s">
        <v>37</v>
      </c>
      <c r="BY13" s="132" t="s">
        <v>37</v>
      </c>
      <c r="BZ13" s="132" t="s">
        <v>37</v>
      </c>
      <c r="CA13" s="139"/>
      <c r="CB13" s="132">
        <v>0</v>
      </c>
      <c r="CC13" s="132">
        <v>0</v>
      </c>
      <c r="CD13" s="132">
        <v>0</v>
      </c>
      <c r="CE13" s="132">
        <v>0</v>
      </c>
      <c r="CF13" s="132">
        <v>0</v>
      </c>
      <c r="CG13" s="132">
        <v>0</v>
      </c>
      <c r="CH13" s="132">
        <v>0</v>
      </c>
      <c r="CI13" s="132">
        <v>0.7</v>
      </c>
      <c r="CJ13" s="132">
        <v>0</v>
      </c>
      <c r="CK13" s="139"/>
      <c r="CL13" s="132">
        <v>0.7</v>
      </c>
      <c r="CM13" s="132">
        <v>0.7</v>
      </c>
      <c r="CN13" s="132">
        <v>0</v>
      </c>
      <c r="CO13" s="132">
        <v>0</v>
      </c>
      <c r="CP13" s="132">
        <v>0.7</v>
      </c>
      <c r="CQ13" s="132">
        <v>0.7</v>
      </c>
      <c r="CR13" s="132">
        <v>0.7</v>
      </c>
      <c r="CS13" s="132">
        <v>0</v>
      </c>
      <c r="CT13" s="132">
        <v>0</v>
      </c>
      <c r="CU13" s="132" t="s">
        <v>37</v>
      </c>
      <c r="CV13" s="132">
        <v>0.7</v>
      </c>
      <c r="CW13" s="132">
        <v>0</v>
      </c>
      <c r="CX13" s="132">
        <v>0</v>
      </c>
      <c r="CY13" s="139"/>
      <c r="CZ13" s="109">
        <v>0</v>
      </c>
      <c r="DA13" s="109" t="s">
        <v>37</v>
      </c>
      <c r="DB13" s="133" t="s">
        <v>37</v>
      </c>
      <c r="DC13" s="109">
        <v>0.7</v>
      </c>
      <c r="DD13" s="132">
        <v>0</v>
      </c>
      <c r="DE13" s="132">
        <v>0</v>
      </c>
      <c r="DF13" s="132">
        <v>0</v>
      </c>
      <c r="DG13" s="132">
        <v>0</v>
      </c>
      <c r="DH13" s="132">
        <v>0</v>
      </c>
      <c r="DI13" s="132">
        <v>0</v>
      </c>
      <c r="DJ13" s="132">
        <v>0</v>
      </c>
      <c r="DK13" s="132">
        <v>0</v>
      </c>
      <c r="DL13" s="149"/>
      <c r="DM13" s="139"/>
      <c r="DN13" s="132">
        <v>0</v>
      </c>
      <c r="DO13" s="132">
        <v>0</v>
      </c>
      <c r="DP13" s="109" t="s">
        <v>37</v>
      </c>
      <c r="DQ13" s="133" t="s">
        <v>37</v>
      </c>
      <c r="DR13" s="109" t="s">
        <v>37</v>
      </c>
      <c r="DS13" s="133" t="s">
        <v>37</v>
      </c>
      <c r="DT13" s="132">
        <v>0</v>
      </c>
      <c r="DU13" s="132">
        <v>0</v>
      </c>
      <c r="DV13" s="132">
        <v>0</v>
      </c>
      <c r="DW13" s="132">
        <v>0</v>
      </c>
      <c r="DX13" s="132">
        <v>0</v>
      </c>
      <c r="DY13" s="132">
        <v>0</v>
      </c>
      <c r="DZ13" s="132">
        <v>0</v>
      </c>
      <c r="EA13" s="132">
        <v>0</v>
      </c>
      <c r="EB13" s="5">
        <f t="shared" si="0"/>
        <v>37.600000000000023</v>
      </c>
      <c r="EC13" s="5">
        <v>6</v>
      </c>
      <c r="ED13" s="5">
        <f t="shared" si="2"/>
        <v>48</v>
      </c>
      <c r="EE13" s="7">
        <f t="shared" si="3"/>
        <v>10.399999999999977</v>
      </c>
      <c r="EF13" s="40" t="str">
        <f t="shared" si="4"/>
        <v/>
      </c>
      <c r="EG13" s="41" t="str">
        <f t="shared" si="1"/>
        <v/>
      </c>
    </row>
    <row r="14" spans="1:143" x14ac:dyDescent="0.25">
      <c r="A14" s="130" t="s">
        <v>23</v>
      </c>
      <c r="B14" s="130"/>
      <c r="C14" s="130">
        <v>8</v>
      </c>
      <c r="D14" s="130"/>
      <c r="E14" s="132" t="s">
        <v>37</v>
      </c>
      <c r="F14" s="132" t="s">
        <v>37</v>
      </c>
      <c r="G14" s="132">
        <v>1</v>
      </c>
      <c r="H14" s="132">
        <v>0.5</v>
      </c>
      <c r="I14" s="132">
        <v>1</v>
      </c>
      <c r="J14" s="132">
        <v>1</v>
      </c>
      <c r="K14" s="132">
        <v>0.5</v>
      </c>
      <c r="L14" s="132">
        <v>1</v>
      </c>
      <c r="M14" s="139"/>
      <c r="N14" s="132">
        <v>0.5</v>
      </c>
      <c r="O14" s="132">
        <v>0.5</v>
      </c>
      <c r="P14" s="132">
        <v>0.5</v>
      </c>
      <c r="Q14" s="132">
        <v>1</v>
      </c>
      <c r="R14" s="132">
        <v>0</v>
      </c>
      <c r="S14" s="132" t="s">
        <v>37</v>
      </c>
      <c r="T14" s="132">
        <v>0</v>
      </c>
      <c r="U14" s="132" t="s">
        <v>37</v>
      </c>
      <c r="V14" s="139"/>
      <c r="W14" s="132" t="s">
        <v>37</v>
      </c>
      <c r="X14" s="132" t="s">
        <v>37</v>
      </c>
      <c r="Y14" s="132">
        <v>1</v>
      </c>
      <c r="Z14" s="132">
        <v>1</v>
      </c>
      <c r="AA14" s="132">
        <v>1</v>
      </c>
      <c r="AB14" s="132">
        <v>1</v>
      </c>
      <c r="AC14" s="132">
        <v>0</v>
      </c>
      <c r="AD14" s="132">
        <v>1</v>
      </c>
      <c r="AE14" s="132">
        <v>1</v>
      </c>
      <c r="AF14" s="139"/>
      <c r="AG14" s="132">
        <v>1</v>
      </c>
      <c r="AH14" s="132">
        <v>0.5</v>
      </c>
      <c r="AI14" s="132">
        <v>0.5</v>
      </c>
      <c r="AJ14" s="132">
        <v>1</v>
      </c>
      <c r="AK14" s="132">
        <v>0.5</v>
      </c>
      <c r="AL14" s="132">
        <v>0.5</v>
      </c>
      <c r="AM14" s="132" t="s">
        <v>37</v>
      </c>
      <c r="AN14" s="132" t="s">
        <v>37</v>
      </c>
      <c r="AO14" s="132">
        <v>0.5</v>
      </c>
      <c r="AP14" s="139"/>
      <c r="AQ14" s="132">
        <v>0.5</v>
      </c>
      <c r="AR14" s="132">
        <v>0.5</v>
      </c>
      <c r="AS14" s="132">
        <v>0</v>
      </c>
      <c r="AT14" s="132">
        <v>1</v>
      </c>
      <c r="AU14" s="132">
        <v>0</v>
      </c>
      <c r="AV14" s="132">
        <v>0</v>
      </c>
      <c r="AW14" s="132">
        <v>0</v>
      </c>
      <c r="AX14" s="132">
        <v>0</v>
      </c>
      <c r="AY14" s="132">
        <v>0</v>
      </c>
      <c r="AZ14" s="132">
        <v>0</v>
      </c>
      <c r="BA14" s="139"/>
      <c r="BB14" s="132">
        <v>0</v>
      </c>
      <c r="BC14" s="132">
        <v>0</v>
      </c>
      <c r="BD14" s="132">
        <v>0</v>
      </c>
      <c r="BE14" s="132">
        <v>0</v>
      </c>
      <c r="BF14" s="132">
        <v>0</v>
      </c>
      <c r="BG14" s="132">
        <v>0.75</v>
      </c>
      <c r="BH14" s="132">
        <v>0</v>
      </c>
      <c r="BI14" s="132">
        <v>0</v>
      </c>
      <c r="BJ14" s="132">
        <v>0</v>
      </c>
      <c r="BK14" s="132">
        <v>0</v>
      </c>
      <c r="BL14" s="132">
        <v>0</v>
      </c>
      <c r="BM14" s="132">
        <v>0</v>
      </c>
      <c r="BN14" s="132">
        <v>0</v>
      </c>
      <c r="BO14" s="132">
        <v>0</v>
      </c>
      <c r="BP14" s="139"/>
      <c r="BQ14" s="132">
        <v>0</v>
      </c>
      <c r="BR14" s="132">
        <v>0</v>
      </c>
      <c r="BS14" s="132">
        <v>0</v>
      </c>
      <c r="BT14" s="132" t="s">
        <v>37</v>
      </c>
      <c r="BU14" s="132" t="s">
        <v>37</v>
      </c>
      <c r="BV14" s="132" t="s">
        <v>37</v>
      </c>
      <c r="BW14" s="132" t="s">
        <v>37</v>
      </c>
      <c r="BX14" s="132" t="s">
        <v>37</v>
      </c>
      <c r="BY14" s="132" t="s">
        <v>37</v>
      </c>
      <c r="BZ14" s="132" t="s">
        <v>37</v>
      </c>
      <c r="CA14" s="139"/>
      <c r="CB14" s="132">
        <v>0</v>
      </c>
      <c r="CC14" s="132">
        <v>0</v>
      </c>
      <c r="CD14" s="132">
        <v>0</v>
      </c>
      <c r="CE14" s="132">
        <v>0</v>
      </c>
      <c r="CF14" s="132">
        <v>0</v>
      </c>
      <c r="CG14" s="132">
        <v>0</v>
      </c>
      <c r="CH14" s="132">
        <v>0</v>
      </c>
      <c r="CI14" s="132">
        <v>0</v>
      </c>
      <c r="CJ14" s="132">
        <v>0</v>
      </c>
      <c r="CK14" s="139"/>
      <c r="CL14" s="132">
        <v>0</v>
      </c>
      <c r="CM14" s="132">
        <v>0</v>
      </c>
      <c r="CN14" s="132">
        <v>0</v>
      </c>
      <c r="CO14" s="132">
        <v>0</v>
      </c>
      <c r="CP14" s="132">
        <v>0</v>
      </c>
      <c r="CQ14" s="132">
        <v>0</v>
      </c>
      <c r="CR14" s="132">
        <v>0</v>
      </c>
      <c r="CS14" s="132">
        <v>0.7</v>
      </c>
      <c r="CT14" s="132">
        <v>0</v>
      </c>
      <c r="CU14" s="132" t="s">
        <v>37</v>
      </c>
      <c r="CV14" s="132">
        <v>0</v>
      </c>
      <c r="CW14" s="132">
        <v>0</v>
      </c>
      <c r="CX14" s="132">
        <v>0</v>
      </c>
      <c r="CY14" s="139"/>
      <c r="CZ14" s="109">
        <v>0</v>
      </c>
      <c r="DA14" s="109" t="s">
        <v>37</v>
      </c>
      <c r="DB14" s="133" t="s">
        <v>37</v>
      </c>
      <c r="DC14" s="109">
        <v>0</v>
      </c>
      <c r="DD14" s="132">
        <v>0</v>
      </c>
      <c r="DE14" s="132">
        <v>0</v>
      </c>
      <c r="DF14" s="132">
        <v>0</v>
      </c>
      <c r="DG14" s="132">
        <v>0</v>
      </c>
      <c r="DH14" s="132">
        <v>0</v>
      </c>
      <c r="DI14" s="132">
        <v>0</v>
      </c>
      <c r="DJ14" s="132">
        <v>0</v>
      </c>
      <c r="DK14" s="132">
        <v>0</v>
      </c>
      <c r="DL14" s="149"/>
      <c r="DM14" s="139"/>
      <c r="DN14" s="132">
        <v>0</v>
      </c>
      <c r="DO14" s="132">
        <v>0</v>
      </c>
      <c r="DP14" s="109" t="s">
        <v>37</v>
      </c>
      <c r="DQ14" s="133" t="s">
        <v>37</v>
      </c>
      <c r="DR14" s="109" t="s">
        <v>37</v>
      </c>
      <c r="DS14" s="133" t="s">
        <v>37</v>
      </c>
      <c r="DT14" s="132">
        <v>0</v>
      </c>
      <c r="DU14" s="132">
        <v>0</v>
      </c>
      <c r="DV14" s="132">
        <v>0</v>
      </c>
      <c r="DW14" s="132">
        <v>0</v>
      </c>
      <c r="DX14" s="132">
        <v>0</v>
      </c>
      <c r="DY14" s="132">
        <v>0</v>
      </c>
      <c r="DZ14" s="132">
        <v>0</v>
      </c>
      <c r="EA14" s="132">
        <v>0</v>
      </c>
      <c r="EB14" s="5">
        <f t="shared" si="0"/>
        <v>21.45</v>
      </c>
      <c r="EC14" s="5">
        <v>2</v>
      </c>
      <c r="ED14" s="5">
        <f t="shared" si="2"/>
        <v>16</v>
      </c>
      <c r="EE14" s="7">
        <f t="shared" si="3"/>
        <v>-5.4499999999999993</v>
      </c>
      <c r="EF14" s="40" t="str">
        <f t="shared" si="4"/>
        <v>NO</v>
      </c>
      <c r="EG14" s="41" t="str">
        <f t="shared" si="1"/>
        <v>صوالح عمار محمود</v>
      </c>
    </row>
    <row r="15" spans="1:143" x14ac:dyDescent="0.25">
      <c r="A15" s="130" t="s">
        <v>25</v>
      </c>
      <c r="B15" s="130"/>
      <c r="C15" s="130">
        <v>9</v>
      </c>
      <c r="D15" s="131">
        <v>45694</v>
      </c>
      <c r="E15" s="132" t="s">
        <v>37</v>
      </c>
      <c r="F15" s="132" t="s">
        <v>37</v>
      </c>
      <c r="G15" s="132">
        <v>1</v>
      </c>
      <c r="H15" s="132">
        <v>1</v>
      </c>
      <c r="I15" s="132">
        <v>1</v>
      </c>
      <c r="J15" s="132">
        <v>1</v>
      </c>
      <c r="K15" s="132">
        <v>1</v>
      </c>
      <c r="L15" s="132">
        <v>1</v>
      </c>
      <c r="M15" s="139"/>
      <c r="N15" s="132">
        <v>1</v>
      </c>
      <c r="O15" s="132">
        <v>0.5</v>
      </c>
      <c r="P15" s="132">
        <v>0.5</v>
      </c>
      <c r="Q15" s="132">
        <v>0.5</v>
      </c>
      <c r="R15" s="132">
        <v>0</v>
      </c>
      <c r="S15" s="132" t="s">
        <v>37</v>
      </c>
      <c r="T15" s="132">
        <v>0</v>
      </c>
      <c r="U15" s="132" t="s">
        <v>37</v>
      </c>
      <c r="V15" s="139"/>
      <c r="W15" s="132" t="s">
        <v>37</v>
      </c>
      <c r="X15" s="132" t="s">
        <v>37</v>
      </c>
      <c r="Y15" s="132">
        <v>0</v>
      </c>
      <c r="Z15" s="132">
        <v>0</v>
      </c>
      <c r="AA15" s="132">
        <v>0</v>
      </c>
      <c r="AB15" s="132">
        <v>0</v>
      </c>
      <c r="AC15" s="132">
        <v>0</v>
      </c>
      <c r="AD15" s="132">
        <v>0</v>
      </c>
      <c r="AE15" s="132">
        <v>1</v>
      </c>
      <c r="AF15" s="139"/>
      <c r="AG15" s="132">
        <v>1</v>
      </c>
      <c r="AH15" s="132">
        <v>0.5</v>
      </c>
      <c r="AI15" s="132">
        <v>0.5</v>
      </c>
      <c r="AJ15" s="132">
        <v>0.5</v>
      </c>
      <c r="AK15" s="132">
        <v>0.5</v>
      </c>
      <c r="AL15" s="132">
        <v>0.5</v>
      </c>
      <c r="AM15" s="132" t="s">
        <v>37</v>
      </c>
      <c r="AN15" s="132" t="s">
        <v>37</v>
      </c>
      <c r="AO15" s="132">
        <v>0.5</v>
      </c>
      <c r="AP15" s="139"/>
      <c r="AQ15" s="132">
        <v>0.5</v>
      </c>
      <c r="AR15" s="132">
        <v>0.5</v>
      </c>
      <c r="AS15" s="132">
        <v>0</v>
      </c>
      <c r="AT15" s="132">
        <v>1</v>
      </c>
      <c r="AU15" s="132">
        <v>1</v>
      </c>
      <c r="AV15" s="132">
        <v>0</v>
      </c>
      <c r="AW15" s="132">
        <v>0</v>
      </c>
      <c r="AX15" s="132">
        <v>0</v>
      </c>
      <c r="AY15" s="132">
        <v>1</v>
      </c>
      <c r="AZ15" s="132">
        <v>0</v>
      </c>
      <c r="BA15" s="139"/>
      <c r="BB15" s="132">
        <v>0.75</v>
      </c>
      <c r="BC15" s="132">
        <v>0.75</v>
      </c>
      <c r="BD15" s="132">
        <v>0</v>
      </c>
      <c r="BE15" s="132">
        <v>0</v>
      </c>
      <c r="BF15" s="132">
        <v>0</v>
      </c>
      <c r="BG15" s="132">
        <v>0</v>
      </c>
      <c r="BH15" s="132">
        <v>0.75</v>
      </c>
      <c r="BI15" s="132">
        <v>0.75</v>
      </c>
      <c r="BJ15" s="132">
        <v>0</v>
      </c>
      <c r="BK15" s="132">
        <v>0.75</v>
      </c>
      <c r="BL15" s="132">
        <v>0</v>
      </c>
      <c r="BM15" s="132">
        <v>0.75</v>
      </c>
      <c r="BN15" s="132">
        <v>0.75</v>
      </c>
      <c r="BO15" s="132">
        <v>0.75</v>
      </c>
      <c r="BP15" s="139"/>
      <c r="BQ15" s="132">
        <v>0</v>
      </c>
      <c r="BR15" s="132">
        <v>0.75</v>
      </c>
      <c r="BS15" s="132">
        <v>0.75</v>
      </c>
      <c r="BT15" s="132" t="s">
        <v>37</v>
      </c>
      <c r="BU15" s="132" t="s">
        <v>37</v>
      </c>
      <c r="BV15" s="132" t="s">
        <v>37</v>
      </c>
      <c r="BW15" s="132" t="s">
        <v>37</v>
      </c>
      <c r="BX15" s="132" t="s">
        <v>37</v>
      </c>
      <c r="BY15" s="132" t="s">
        <v>37</v>
      </c>
      <c r="BZ15" s="132" t="s">
        <v>37</v>
      </c>
      <c r="CA15" s="139"/>
      <c r="CB15" s="132">
        <v>0.7</v>
      </c>
      <c r="CC15" s="132">
        <v>0.7</v>
      </c>
      <c r="CD15" s="132">
        <v>0.7</v>
      </c>
      <c r="CE15" s="132">
        <v>0.7</v>
      </c>
      <c r="CF15" s="132">
        <v>0.7</v>
      </c>
      <c r="CG15" s="132">
        <v>0.7</v>
      </c>
      <c r="CH15" s="132">
        <v>0.7</v>
      </c>
      <c r="CI15" s="132">
        <v>0</v>
      </c>
      <c r="CJ15" s="132">
        <v>0.7</v>
      </c>
      <c r="CK15" s="139"/>
      <c r="CL15" s="132">
        <v>0</v>
      </c>
      <c r="CM15" s="132">
        <v>0</v>
      </c>
      <c r="CN15" s="132">
        <v>0.7</v>
      </c>
      <c r="CO15" s="132">
        <v>0.7</v>
      </c>
      <c r="CP15" s="132">
        <v>0.7</v>
      </c>
      <c r="CQ15" s="132">
        <v>0.7</v>
      </c>
      <c r="CR15" s="132">
        <v>0.7</v>
      </c>
      <c r="CS15" s="132">
        <v>0.7</v>
      </c>
      <c r="CT15" s="132">
        <v>0.7</v>
      </c>
      <c r="CU15" s="132" t="s">
        <v>37</v>
      </c>
      <c r="CV15" s="132">
        <v>0.7</v>
      </c>
      <c r="CW15" s="132">
        <v>0.7</v>
      </c>
      <c r="CX15" s="132">
        <v>0.7</v>
      </c>
      <c r="CY15" s="139"/>
      <c r="CZ15" s="109">
        <v>0.7</v>
      </c>
      <c r="DA15" s="109" t="s">
        <v>37</v>
      </c>
      <c r="DB15" s="133" t="s">
        <v>37</v>
      </c>
      <c r="DC15" s="109">
        <v>0.7</v>
      </c>
      <c r="DD15" s="132">
        <v>0.7</v>
      </c>
      <c r="DE15" s="132">
        <v>0.7</v>
      </c>
      <c r="DF15" s="132">
        <v>0.7</v>
      </c>
      <c r="DG15" s="132">
        <v>0.7</v>
      </c>
      <c r="DH15" s="132">
        <v>0.7</v>
      </c>
      <c r="DI15" s="132">
        <v>0.7</v>
      </c>
      <c r="DJ15" s="132">
        <v>0.7</v>
      </c>
      <c r="DK15" s="132">
        <v>0.7</v>
      </c>
      <c r="DL15" s="132">
        <v>0.7</v>
      </c>
      <c r="DM15" s="139"/>
      <c r="DN15" s="132">
        <v>0.7</v>
      </c>
      <c r="DO15" s="132">
        <v>0.7</v>
      </c>
      <c r="DP15" s="109" t="s">
        <v>37</v>
      </c>
      <c r="DQ15" s="133" t="s">
        <v>37</v>
      </c>
      <c r="DR15" s="109" t="s">
        <v>37</v>
      </c>
      <c r="DS15" s="133" t="s">
        <v>37</v>
      </c>
      <c r="DT15" s="132">
        <v>0.7</v>
      </c>
      <c r="DU15" s="132">
        <v>0.7</v>
      </c>
      <c r="DV15" s="132">
        <v>0.7</v>
      </c>
      <c r="DW15" s="132">
        <v>0</v>
      </c>
      <c r="DX15" s="132">
        <v>0.7</v>
      </c>
      <c r="DY15" s="132">
        <v>0.7</v>
      </c>
      <c r="DZ15" s="132">
        <v>0</v>
      </c>
      <c r="EA15" s="132">
        <v>0</v>
      </c>
      <c r="EB15" s="5">
        <f t="shared" si="0"/>
        <v>50.200000000000067</v>
      </c>
      <c r="EC15" s="5">
        <v>7</v>
      </c>
      <c r="ED15" s="5">
        <f t="shared" si="2"/>
        <v>56</v>
      </c>
      <c r="EE15" s="7">
        <f t="shared" si="3"/>
        <v>5.7999999999999332</v>
      </c>
      <c r="EF15" s="40" t="str">
        <f t="shared" si="4"/>
        <v/>
      </c>
      <c r="EG15" s="41" t="str">
        <f t="shared" si="1"/>
        <v/>
      </c>
    </row>
    <row r="16" spans="1:143" x14ac:dyDescent="0.25">
      <c r="A16" s="130" t="s">
        <v>26</v>
      </c>
      <c r="B16" s="130"/>
      <c r="C16" s="130">
        <v>10</v>
      </c>
      <c r="D16" s="131">
        <v>45694</v>
      </c>
      <c r="E16" s="132" t="s">
        <v>37</v>
      </c>
      <c r="F16" s="132" t="s">
        <v>37</v>
      </c>
      <c r="G16" s="132">
        <v>1</v>
      </c>
      <c r="H16" s="132">
        <v>1</v>
      </c>
      <c r="I16" s="132">
        <v>1</v>
      </c>
      <c r="J16" s="132">
        <v>1</v>
      </c>
      <c r="K16" s="132">
        <v>1</v>
      </c>
      <c r="L16" s="132">
        <v>1</v>
      </c>
      <c r="M16" s="139"/>
      <c r="N16" s="132">
        <v>1</v>
      </c>
      <c r="O16" s="132">
        <v>1</v>
      </c>
      <c r="P16" s="132">
        <v>0.5</v>
      </c>
      <c r="Q16" s="132">
        <v>0.5</v>
      </c>
      <c r="R16" s="132">
        <v>0</v>
      </c>
      <c r="S16" s="132" t="s">
        <v>37</v>
      </c>
      <c r="T16" s="132">
        <v>0</v>
      </c>
      <c r="U16" s="132" t="s">
        <v>37</v>
      </c>
      <c r="V16" s="139"/>
      <c r="W16" s="132" t="s">
        <v>37</v>
      </c>
      <c r="X16" s="132" t="s">
        <v>37</v>
      </c>
      <c r="Y16" s="132">
        <v>0</v>
      </c>
      <c r="Z16" s="132">
        <v>0</v>
      </c>
      <c r="AA16" s="132">
        <v>0</v>
      </c>
      <c r="AB16" s="132">
        <v>0</v>
      </c>
      <c r="AC16" s="132">
        <v>0</v>
      </c>
      <c r="AD16" s="132">
        <v>0</v>
      </c>
      <c r="AE16" s="132">
        <v>1</v>
      </c>
      <c r="AF16" s="139"/>
      <c r="AG16" s="132">
        <v>1</v>
      </c>
      <c r="AH16" s="132">
        <v>0.5</v>
      </c>
      <c r="AI16" s="132">
        <v>0.5</v>
      </c>
      <c r="AJ16" s="132">
        <v>0.5</v>
      </c>
      <c r="AK16" s="132">
        <v>0.5</v>
      </c>
      <c r="AL16" s="132">
        <v>0.5</v>
      </c>
      <c r="AM16" s="132" t="s">
        <v>37</v>
      </c>
      <c r="AN16" s="132" t="s">
        <v>37</v>
      </c>
      <c r="AO16" s="132">
        <v>0.5</v>
      </c>
      <c r="AP16" s="139"/>
      <c r="AQ16" s="132">
        <v>0.5</v>
      </c>
      <c r="AR16" s="132">
        <v>0.5</v>
      </c>
      <c r="AS16" s="132">
        <v>0</v>
      </c>
      <c r="AT16" s="132">
        <v>1</v>
      </c>
      <c r="AU16" s="132">
        <v>1</v>
      </c>
      <c r="AV16" s="132">
        <v>0</v>
      </c>
      <c r="AW16" s="132">
        <v>0</v>
      </c>
      <c r="AX16" s="132">
        <v>0</v>
      </c>
      <c r="AY16" s="132">
        <v>1</v>
      </c>
      <c r="AZ16" s="132">
        <v>0</v>
      </c>
      <c r="BA16" s="139"/>
      <c r="BB16" s="132">
        <v>0.75</v>
      </c>
      <c r="BC16" s="132">
        <v>0.75</v>
      </c>
      <c r="BD16" s="132">
        <v>0</v>
      </c>
      <c r="BE16" s="132">
        <v>0</v>
      </c>
      <c r="BF16" s="132">
        <v>0</v>
      </c>
      <c r="BG16" s="132">
        <v>0</v>
      </c>
      <c r="BH16" s="132">
        <v>0.75</v>
      </c>
      <c r="BI16" s="132">
        <v>0.75</v>
      </c>
      <c r="BJ16" s="132">
        <v>0</v>
      </c>
      <c r="BK16" s="132">
        <v>0.75</v>
      </c>
      <c r="BL16" s="132">
        <v>0.75</v>
      </c>
      <c r="BM16" s="132">
        <v>0.75</v>
      </c>
      <c r="BN16" s="132">
        <v>0.75</v>
      </c>
      <c r="BO16" s="132">
        <v>0.75</v>
      </c>
      <c r="BP16" s="139"/>
      <c r="BQ16" s="132">
        <v>0</v>
      </c>
      <c r="BR16" s="132">
        <v>0.75</v>
      </c>
      <c r="BS16" s="132">
        <v>0.75</v>
      </c>
      <c r="BT16" s="132" t="s">
        <v>37</v>
      </c>
      <c r="BU16" s="132" t="s">
        <v>37</v>
      </c>
      <c r="BV16" s="132" t="s">
        <v>37</v>
      </c>
      <c r="BW16" s="132" t="s">
        <v>37</v>
      </c>
      <c r="BX16" s="132" t="s">
        <v>37</v>
      </c>
      <c r="BY16" s="132" t="s">
        <v>37</v>
      </c>
      <c r="BZ16" s="132" t="s">
        <v>37</v>
      </c>
      <c r="CA16" s="139"/>
      <c r="CB16" s="132">
        <v>0.7</v>
      </c>
      <c r="CC16" s="132">
        <v>0.7</v>
      </c>
      <c r="CD16" s="132">
        <v>0.7</v>
      </c>
      <c r="CE16" s="132">
        <v>0.7</v>
      </c>
      <c r="CF16" s="132">
        <v>0.7</v>
      </c>
      <c r="CG16" s="132">
        <v>0.7</v>
      </c>
      <c r="CH16" s="132">
        <v>0.7</v>
      </c>
      <c r="CI16" s="132">
        <v>0.7</v>
      </c>
      <c r="CJ16" s="132">
        <v>0.7</v>
      </c>
      <c r="CK16" s="139"/>
      <c r="CL16" s="132">
        <v>0</v>
      </c>
      <c r="CM16" s="132">
        <v>0.7</v>
      </c>
      <c r="CN16" s="132">
        <v>0.7</v>
      </c>
      <c r="CO16" s="132">
        <v>0.7</v>
      </c>
      <c r="CP16" s="132">
        <v>0.7</v>
      </c>
      <c r="CQ16" s="132">
        <v>0.7</v>
      </c>
      <c r="CR16" s="132">
        <v>0.7</v>
      </c>
      <c r="CS16" s="132">
        <v>0.7</v>
      </c>
      <c r="CT16" s="132">
        <v>0.7</v>
      </c>
      <c r="CU16" s="132" t="s">
        <v>37</v>
      </c>
      <c r="CV16" s="132">
        <v>0.7</v>
      </c>
      <c r="CW16" s="132">
        <v>0.7</v>
      </c>
      <c r="CX16" s="132">
        <v>0.7</v>
      </c>
      <c r="CY16" s="139"/>
      <c r="CZ16" s="109">
        <v>0.7</v>
      </c>
      <c r="DA16" s="109" t="s">
        <v>37</v>
      </c>
      <c r="DB16" s="133" t="s">
        <v>37</v>
      </c>
      <c r="DC16" s="109">
        <v>0.7</v>
      </c>
      <c r="DD16" s="132">
        <v>0.7</v>
      </c>
      <c r="DE16" s="132">
        <v>0.7</v>
      </c>
      <c r="DF16" s="132">
        <v>0.7</v>
      </c>
      <c r="DG16" s="132">
        <v>0.7</v>
      </c>
      <c r="DH16" s="132">
        <v>0.7</v>
      </c>
      <c r="DI16" s="132">
        <v>0.7</v>
      </c>
      <c r="DJ16" s="132">
        <v>0.7</v>
      </c>
      <c r="DK16" s="132">
        <v>0.7</v>
      </c>
      <c r="DL16" s="132">
        <v>0.7</v>
      </c>
      <c r="DM16" s="139"/>
      <c r="DN16" s="132">
        <v>0.7</v>
      </c>
      <c r="DO16" s="132">
        <v>0.7</v>
      </c>
      <c r="DP16" s="109" t="s">
        <v>37</v>
      </c>
      <c r="DQ16" s="133" t="s">
        <v>37</v>
      </c>
      <c r="DR16" s="109" t="s">
        <v>37</v>
      </c>
      <c r="DS16" s="133" t="s">
        <v>37</v>
      </c>
      <c r="DT16" s="132">
        <v>0.7</v>
      </c>
      <c r="DU16" s="132">
        <v>0.7</v>
      </c>
      <c r="DV16" s="132">
        <v>0.7</v>
      </c>
      <c r="DW16" s="132">
        <v>0.7</v>
      </c>
      <c r="DX16" s="132">
        <v>0.7</v>
      </c>
      <c r="DY16" s="132">
        <v>0.7</v>
      </c>
      <c r="DZ16" s="132">
        <v>0.7</v>
      </c>
      <c r="EA16" s="132">
        <v>0</v>
      </c>
      <c r="EB16" s="5">
        <f t="shared" si="0"/>
        <v>54.250000000000085</v>
      </c>
      <c r="EC16" s="5">
        <v>7</v>
      </c>
      <c r="ED16" s="5">
        <f t="shared" si="2"/>
        <v>56</v>
      </c>
      <c r="EE16" s="7">
        <f t="shared" si="3"/>
        <v>1.7499999999999147</v>
      </c>
      <c r="EF16" s="40" t="str">
        <f t="shared" si="4"/>
        <v/>
      </c>
      <c r="EG16" s="41" t="str">
        <f t="shared" si="1"/>
        <v/>
      </c>
    </row>
    <row r="17" spans="1:137" x14ac:dyDescent="0.25">
      <c r="A17" s="130" t="s">
        <v>27</v>
      </c>
      <c r="B17" s="130"/>
      <c r="C17" s="130">
        <v>11</v>
      </c>
      <c r="D17" s="131">
        <v>45671</v>
      </c>
      <c r="E17" s="132" t="s">
        <v>37</v>
      </c>
      <c r="F17" s="132" t="s">
        <v>37</v>
      </c>
      <c r="G17" s="132">
        <v>0.5</v>
      </c>
      <c r="H17" s="132">
        <v>0.5</v>
      </c>
      <c r="I17" s="132">
        <v>0.5</v>
      </c>
      <c r="J17" s="132">
        <v>0.5</v>
      </c>
      <c r="K17" s="132">
        <v>1</v>
      </c>
      <c r="L17" s="132">
        <v>1</v>
      </c>
      <c r="M17" s="139"/>
      <c r="N17" s="132">
        <v>0.5</v>
      </c>
      <c r="O17" s="132">
        <v>0.5</v>
      </c>
      <c r="P17" s="132">
        <v>0.5</v>
      </c>
      <c r="Q17" s="132">
        <v>1</v>
      </c>
      <c r="R17" s="132">
        <v>0</v>
      </c>
      <c r="S17" s="132" t="s">
        <v>37</v>
      </c>
      <c r="T17" s="132">
        <v>0</v>
      </c>
      <c r="U17" s="132" t="s">
        <v>37</v>
      </c>
      <c r="V17" s="139"/>
      <c r="W17" s="132" t="s">
        <v>37</v>
      </c>
      <c r="X17" s="132" t="s">
        <v>37</v>
      </c>
      <c r="Y17" s="132">
        <v>0</v>
      </c>
      <c r="Z17" s="132">
        <v>0</v>
      </c>
      <c r="AA17" s="132">
        <v>1</v>
      </c>
      <c r="AB17" s="132">
        <v>0</v>
      </c>
      <c r="AC17" s="132">
        <v>0</v>
      </c>
      <c r="AD17" s="132">
        <v>1</v>
      </c>
      <c r="AE17" s="132">
        <v>0</v>
      </c>
      <c r="AF17" s="139"/>
      <c r="AG17" s="132">
        <v>1</v>
      </c>
      <c r="AH17" s="132">
        <v>1</v>
      </c>
      <c r="AI17" s="132">
        <v>1</v>
      </c>
      <c r="AJ17" s="132">
        <v>1</v>
      </c>
      <c r="AK17" s="132">
        <v>1</v>
      </c>
      <c r="AL17" s="132">
        <v>1</v>
      </c>
      <c r="AM17" s="132" t="s">
        <v>37</v>
      </c>
      <c r="AN17" s="132" t="s">
        <v>37</v>
      </c>
      <c r="AO17" s="132">
        <v>1</v>
      </c>
      <c r="AP17" s="139"/>
      <c r="AQ17" s="132">
        <v>1</v>
      </c>
      <c r="AR17" s="132">
        <v>1</v>
      </c>
      <c r="AS17" s="132">
        <v>1</v>
      </c>
      <c r="AT17" s="132">
        <v>0</v>
      </c>
      <c r="AU17" s="132">
        <v>0</v>
      </c>
      <c r="AV17" s="132">
        <v>0</v>
      </c>
      <c r="AW17" s="132">
        <v>1</v>
      </c>
      <c r="AX17" s="132">
        <v>1</v>
      </c>
      <c r="AY17" s="132">
        <v>1</v>
      </c>
      <c r="AZ17" s="132">
        <v>0</v>
      </c>
      <c r="BA17" s="139"/>
      <c r="BB17" s="132">
        <v>0.75</v>
      </c>
      <c r="BC17" s="132">
        <v>0</v>
      </c>
      <c r="BD17" s="132">
        <v>0</v>
      </c>
      <c r="BE17" s="132">
        <v>0</v>
      </c>
      <c r="BF17" s="132">
        <v>0</v>
      </c>
      <c r="BG17" s="132">
        <v>0</v>
      </c>
      <c r="BH17" s="132">
        <v>0</v>
      </c>
      <c r="BI17" s="132">
        <v>0</v>
      </c>
      <c r="BJ17" s="132">
        <v>0</v>
      </c>
      <c r="BK17" s="132">
        <v>0</v>
      </c>
      <c r="BL17" s="132">
        <v>0</v>
      </c>
      <c r="BM17" s="132">
        <v>0</v>
      </c>
      <c r="BN17" s="132">
        <v>0</v>
      </c>
      <c r="BO17" s="132">
        <v>0</v>
      </c>
      <c r="BP17" s="139"/>
      <c r="BQ17" s="132">
        <v>0</v>
      </c>
      <c r="BR17" s="132">
        <v>0</v>
      </c>
      <c r="BS17" s="132">
        <v>0</v>
      </c>
      <c r="BT17" s="132" t="s">
        <v>37</v>
      </c>
      <c r="BU17" s="132" t="s">
        <v>37</v>
      </c>
      <c r="BV17" s="132" t="s">
        <v>37</v>
      </c>
      <c r="BW17" s="132" t="s">
        <v>37</v>
      </c>
      <c r="BX17" s="132" t="s">
        <v>37</v>
      </c>
      <c r="BY17" s="132" t="s">
        <v>37</v>
      </c>
      <c r="BZ17" s="132" t="s">
        <v>37</v>
      </c>
      <c r="CA17" s="139"/>
      <c r="CB17" s="132">
        <v>0.7</v>
      </c>
      <c r="CC17" s="132">
        <v>0.7</v>
      </c>
      <c r="CD17" s="132">
        <v>0.7</v>
      </c>
      <c r="CE17" s="132">
        <v>0.7</v>
      </c>
      <c r="CF17" s="132">
        <v>0</v>
      </c>
      <c r="CG17" s="132">
        <v>0.7</v>
      </c>
      <c r="CH17" s="132">
        <v>0.7</v>
      </c>
      <c r="CI17" s="132">
        <v>0.7</v>
      </c>
      <c r="CJ17" s="132">
        <v>0</v>
      </c>
      <c r="CK17" s="139"/>
      <c r="CL17" s="132">
        <v>0.7</v>
      </c>
      <c r="CM17" s="132">
        <v>0.7</v>
      </c>
      <c r="CN17" s="132">
        <v>0.7</v>
      </c>
      <c r="CO17" s="132">
        <v>0.7</v>
      </c>
      <c r="CP17" s="132">
        <v>0</v>
      </c>
      <c r="CQ17" s="132">
        <v>0</v>
      </c>
      <c r="CR17" s="132">
        <v>0</v>
      </c>
      <c r="CS17" s="132">
        <v>0</v>
      </c>
      <c r="CT17" s="132">
        <v>0</v>
      </c>
      <c r="CU17" s="132" t="s">
        <v>37</v>
      </c>
      <c r="CV17" s="132">
        <v>0</v>
      </c>
      <c r="CW17" s="132">
        <v>0</v>
      </c>
      <c r="CX17" s="132">
        <v>0</v>
      </c>
      <c r="CY17" s="139"/>
      <c r="CZ17" s="109">
        <v>0</v>
      </c>
      <c r="DA17" s="109" t="s">
        <v>37</v>
      </c>
      <c r="DB17" s="133" t="s">
        <v>37</v>
      </c>
      <c r="DC17" s="109">
        <v>0</v>
      </c>
      <c r="DD17" s="132">
        <v>0</v>
      </c>
      <c r="DE17" s="132">
        <v>0</v>
      </c>
      <c r="DF17" s="132">
        <v>0</v>
      </c>
      <c r="DG17" s="132">
        <v>0</v>
      </c>
      <c r="DH17" s="132">
        <v>0</v>
      </c>
      <c r="DI17" s="132">
        <v>0</v>
      </c>
      <c r="DJ17" s="132">
        <v>0</v>
      </c>
      <c r="DK17" s="132">
        <v>0</v>
      </c>
      <c r="DL17" s="149"/>
      <c r="DM17" s="139"/>
      <c r="DN17" s="132">
        <v>0</v>
      </c>
      <c r="DO17" s="132">
        <v>0</v>
      </c>
      <c r="DP17" s="109" t="s">
        <v>37</v>
      </c>
      <c r="DQ17" s="133" t="s">
        <v>37</v>
      </c>
      <c r="DR17" s="109" t="s">
        <v>37</v>
      </c>
      <c r="DS17" s="133" t="s">
        <v>37</v>
      </c>
      <c r="DT17" s="132">
        <v>0</v>
      </c>
      <c r="DU17" s="132">
        <v>0</v>
      </c>
      <c r="DV17" s="132">
        <v>0</v>
      </c>
      <c r="DW17" s="132">
        <v>0</v>
      </c>
      <c r="DX17" s="132">
        <v>0</v>
      </c>
      <c r="DY17" s="132">
        <v>0</v>
      </c>
      <c r="DZ17" s="132">
        <v>0</v>
      </c>
      <c r="EA17" s="132">
        <v>0</v>
      </c>
      <c r="EB17" s="5">
        <f t="shared" si="0"/>
        <v>29.949999999999992</v>
      </c>
      <c r="EC17" s="5">
        <v>4</v>
      </c>
      <c r="ED17" s="5">
        <f t="shared" si="2"/>
        <v>32</v>
      </c>
      <c r="EE17" s="7">
        <f t="shared" si="3"/>
        <v>2.0500000000000078</v>
      </c>
      <c r="EF17" s="40" t="str">
        <f t="shared" si="4"/>
        <v/>
      </c>
      <c r="EG17" s="41" t="str">
        <f t="shared" si="1"/>
        <v/>
      </c>
    </row>
    <row r="18" spans="1:137" x14ac:dyDescent="0.25">
      <c r="A18" s="130" t="s">
        <v>28</v>
      </c>
      <c r="B18" s="130"/>
      <c r="C18" s="130">
        <v>12</v>
      </c>
      <c r="D18" s="131">
        <v>45678</v>
      </c>
      <c r="E18" s="132" t="s">
        <v>37</v>
      </c>
      <c r="F18" s="132" t="s">
        <v>37</v>
      </c>
      <c r="G18" s="132">
        <v>4</v>
      </c>
      <c r="H18" s="132">
        <v>1</v>
      </c>
      <c r="I18" s="132">
        <v>1</v>
      </c>
      <c r="J18" s="132">
        <v>1</v>
      </c>
      <c r="K18" s="132">
        <v>0.5</v>
      </c>
      <c r="L18" s="132">
        <v>1</v>
      </c>
      <c r="M18" s="139"/>
      <c r="N18" s="132">
        <v>1</v>
      </c>
      <c r="O18" s="132">
        <v>0.5</v>
      </c>
      <c r="P18" s="132">
        <v>1</v>
      </c>
      <c r="Q18" s="132">
        <v>1</v>
      </c>
      <c r="R18" s="132">
        <v>1</v>
      </c>
      <c r="S18" s="132" t="s">
        <v>37</v>
      </c>
      <c r="T18" s="132">
        <v>0</v>
      </c>
      <c r="U18" s="132" t="s">
        <v>37</v>
      </c>
      <c r="V18" s="139"/>
      <c r="W18" s="132" t="s">
        <v>37</v>
      </c>
      <c r="X18" s="132" t="s">
        <v>37</v>
      </c>
      <c r="Y18" s="132">
        <v>1</v>
      </c>
      <c r="Z18" s="132">
        <v>1</v>
      </c>
      <c r="AA18" s="132">
        <v>0</v>
      </c>
      <c r="AB18" s="132">
        <v>1</v>
      </c>
      <c r="AC18" s="132">
        <v>1</v>
      </c>
      <c r="AD18" s="132">
        <v>0</v>
      </c>
      <c r="AE18" s="132">
        <v>1</v>
      </c>
      <c r="AF18" s="139"/>
      <c r="AG18" s="132">
        <v>1</v>
      </c>
      <c r="AH18" s="132">
        <v>0.5</v>
      </c>
      <c r="AI18" s="132">
        <v>1</v>
      </c>
      <c r="AJ18" s="132">
        <v>0.5</v>
      </c>
      <c r="AK18" s="132">
        <v>1</v>
      </c>
      <c r="AL18" s="132">
        <v>1</v>
      </c>
      <c r="AM18" s="132" t="s">
        <v>37</v>
      </c>
      <c r="AN18" s="132" t="s">
        <v>37</v>
      </c>
      <c r="AO18" s="132">
        <v>1</v>
      </c>
      <c r="AP18" s="139"/>
      <c r="AQ18" s="132">
        <v>1</v>
      </c>
      <c r="AR18" s="132">
        <v>1</v>
      </c>
      <c r="AS18" s="132">
        <v>1</v>
      </c>
      <c r="AT18" s="132">
        <v>1</v>
      </c>
      <c r="AU18" s="132">
        <v>0</v>
      </c>
      <c r="AV18" s="132">
        <v>1</v>
      </c>
      <c r="AW18" s="132">
        <v>0</v>
      </c>
      <c r="AX18" s="132">
        <v>1</v>
      </c>
      <c r="AY18" s="132">
        <v>1</v>
      </c>
      <c r="AZ18" s="132">
        <v>1</v>
      </c>
      <c r="BA18" s="139"/>
      <c r="BB18" s="132">
        <v>0</v>
      </c>
      <c r="BC18" s="132">
        <v>0.75</v>
      </c>
      <c r="BD18" s="132">
        <v>0.75</v>
      </c>
      <c r="BE18" s="132">
        <v>0.75</v>
      </c>
      <c r="BF18" s="132">
        <v>0.75</v>
      </c>
      <c r="BG18" s="132">
        <v>0.75</v>
      </c>
      <c r="BH18" s="132">
        <v>0.75</v>
      </c>
      <c r="BI18" s="132">
        <v>0.75</v>
      </c>
      <c r="BJ18" s="132">
        <v>0</v>
      </c>
      <c r="BK18" s="132">
        <v>0.75</v>
      </c>
      <c r="BL18" s="132">
        <v>0.75</v>
      </c>
      <c r="BM18" s="132">
        <v>0.75</v>
      </c>
      <c r="BN18" s="132">
        <v>0.75</v>
      </c>
      <c r="BO18" s="132">
        <v>0.75</v>
      </c>
      <c r="BP18" s="139"/>
      <c r="BQ18" s="132">
        <v>0.75</v>
      </c>
      <c r="BR18" s="132">
        <v>0.75</v>
      </c>
      <c r="BS18" s="132">
        <v>0.75</v>
      </c>
      <c r="BT18" s="132" t="s">
        <v>37</v>
      </c>
      <c r="BU18" s="132" t="s">
        <v>37</v>
      </c>
      <c r="BV18" s="132" t="s">
        <v>37</v>
      </c>
      <c r="BW18" s="132" t="s">
        <v>37</v>
      </c>
      <c r="BX18" s="132" t="s">
        <v>37</v>
      </c>
      <c r="BY18" s="132" t="s">
        <v>37</v>
      </c>
      <c r="BZ18" s="132" t="s">
        <v>37</v>
      </c>
      <c r="CA18" s="139"/>
      <c r="CB18" s="132">
        <v>0.7</v>
      </c>
      <c r="CC18" s="132">
        <v>0</v>
      </c>
      <c r="CD18" s="132">
        <v>0.7</v>
      </c>
      <c r="CE18" s="132">
        <v>0.7</v>
      </c>
      <c r="CF18" s="132">
        <v>0.7</v>
      </c>
      <c r="CG18" s="132">
        <v>0.7</v>
      </c>
      <c r="CH18" s="132">
        <v>0.7</v>
      </c>
      <c r="CI18" s="132">
        <v>0.7</v>
      </c>
      <c r="CJ18" s="132">
        <v>0.7</v>
      </c>
      <c r="CK18" s="139"/>
      <c r="CL18" s="132">
        <v>0</v>
      </c>
      <c r="CM18" s="132">
        <v>0</v>
      </c>
      <c r="CN18" s="132">
        <v>0.7</v>
      </c>
      <c r="CO18" s="132">
        <v>0.7</v>
      </c>
      <c r="CP18" s="132">
        <v>0.7</v>
      </c>
      <c r="CQ18" s="132">
        <v>0.7</v>
      </c>
      <c r="CR18" s="132">
        <v>0.7</v>
      </c>
      <c r="CS18" s="132">
        <v>0.7</v>
      </c>
      <c r="CT18" s="132">
        <v>0.7</v>
      </c>
      <c r="CU18" s="132" t="s">
        <v>37</v>
      </c>
      <c r="CV18" s="132">
        <v>0.7</v>
      </c>
      <c r="CW18" s="132">
        <v>0.7</v>
      </c>
      <c r="CX18" s="132">
        <v>0.7</v>
      </c>
      <c r="CY18" s="139"/>
      <c r="CZ18" s="109">
        <v>0.7</v>
      </c>
      <c r="DA18" s="109" t="s">
        <v>37</v>
      </c>
      <c r="DB18" s="133" t="s">
        <v>37</v>
      </c>
      <c r="DC18" s="109">
        <v>0.7</v>
      </c>
      <c r="DD18" s="132">
        <v>0.7</v>
      </c>
      <c r="DE18" s="132">
        <v>0.7</v>
      </c>
      <c r="DF18" s="132">
        <v>0.7</v>
      </c>
      <c r="DG18" s="132">
        <v>0.7</v>
      </c>
      <c r="DH18" s="132">
        <v>0.7</v>
      </c>
      <c r="DI18" s="132">
        <v>0.7</v>
      </c>
      <c r="DJ18" s="132">
        <v>0.7</v>
      </c>
      <c r="DK18" s="132">
        <v>0.7</v>
      </c>
      <c r="DL18" s="132">
        <v>0.7</v>
      </c>
      <c r="DM18" s="139"/>
      <c r="DN18" s="132">
        <v>0.7</v>
      </c>
      <c r="DO18" s="132">
        <v>0.7</v>
      </c>
      <c r="DP18" s="109" t="s">
        <v>37</v>
      </c>
      <c r="DQ18" s="133" t="s">
        <v>37</v>
      </c>
      <c r="DR18" s="109" t="s">
        <v>37</v>
      </c>
      <c r="DS18" s="133" t="s">
        <v>37</v>
      </c>
      <c r="DT18" s="132">
        <v>0.7</v>
      </c>
      <c r="DU18" s="132">
        <v>0.7</v>
      </c>
      <c r="DV18" s="132">
        <v>0.7</v>
      </c>
      <c r="DW18" s="132">
        <v>0.7</v>
      </c>
      <c r="DX18" s="132">
        <v>0.7</v>
      </c>
      <c r="DY18" s="132">
        <v>0.7</v>
      </c>
      <c r="DZ18" s="132">
        <v>0.7</v>
      </c>
      <c r="EA18" s="132">
        <v>0.7</v>
      </c>
      <c r="EB18" s="5">
        <f t="shared" si="0"/>
        <v>70.550000000000111</v>
      </c>
      <c r="EC18" s="5">
        <v>8</v>
      </c>
      <c r="ED18" s="5">
        <f t="shared" si="2"/>
        <v>64</v>
      </c>
      <c r="EE18" s="7">
        <f t="shared" si="3"/>
        <v>-6.5500000000001108</v>
      </c>
      <c r="EF18" s="40" t="str">
        <f t="shared" si="4"/>
        <v>NO</v>
      </c>
      <c r="EG18" s="41" t="str">
        <f t="shared" si="1"/>
        <v>طاهر امين</v>
      </c>
    </row>
    <row r="19" spans="1:137" x14ac:dyDescent="0.25">
      <c r="A19" s="130" t="s">
        <v>31</v>
      </c>
      <c r="B19" s="130"/>
      <c r="C19" s="130">
        <v>13</v>
      </c>
      <c r="D19" s="131">
        <v>45699</v>
      </c>
      <c r="E19" s="132" t="s">
        <v>37</v>
      </c>
      <c r="F19" s="132" t="s">
        <v>37</v>
      </c>
      <c r="G19" s="132">
        <v>1</v>
      </c>
      <c r="H19" s="132">
        <v>1</v>
      </c>
      <c r="I19" s="132">
        <v>1</v>
      </c>
      <c r="J19" s="132">
        <v>1</v>
      </c>
      <c r="K19" s="132">
        <v>1</v>
      </c>
      <c r="L19" s="132">
        <v>1</v>
      </c>
      <c r="M19" s="139"/>
      <c r="N19" s="132">
        <v>1</v>
      </c>
      <c r="O19" s="132">
        <v>1</v>
      </c>
      <c r="P19" s="132">
        <v>1</v>
      </c>
      <c r="Q19" s="132">
        <v>1</v>
      </c>
      <c r="R19" s="132">
        <v>1</v>
      </c>
      <c r="S19" s="132" t="s">
        <v>37</v>
      </c>
      <c r="T19" s="132">
        <v>0</v>
      </c>
      <c r="U19" s="132" t="s">
        <v>37</v>
      </c>
      <c r="V19" s="139"/>
      <c r="W19" s="132" t="s">
        <v>37</v>
      </c>
      <c r="X19" s="132" t="s">
        <v>37</v>
      </c>
      <c r="Y19" s="132">
        <v>0</v>
      </c>
      <c r="Z19" s="132">
        <v>1</v>
      </c>
      <c r="AA19" s="132">
        <v>1</v>
      </c>
      <c r="AB19" s="132">
        <v>1</v>
      </c>
      <c r="AC19" s="132">
        <v>1</v>
      </c>
      <c r="AD19" s="132">
        <v>1</v>
      </c>
      <c r="AE19" s="132">
        <v>1</v>
      </c>
      <c r="AF19" s="139"/>
      <c r="AG19" s="132">
        <v>1</v>
      </c>
      <c r="AH19" s="132">
        <v>1</v>
      </c>
      <c r="AI19" s="132">
        <v>1</v>
      </c>
      <c r="AJ19" s="132">
        <v>1</v>
      </c>
      <c r="AK19" s="132">
        <v>1</v>
      </c>
      <c r="AL19" s="132">
        <v>1</v>
      </c>
      <c r="AM19" s="132" t="s">
        <v>37</v>
      </c>
      <c r="AN19" s="132" t="s">
        <v>37</v>
      </c>
      <c r="AO19" s="132">
        <v>0.5</v>
      </c>
      <c r="AP19" s="139"/>
      <c r="AQ19" s="132">
        <v>1</v>
      </c>
      <c r="AR19" s="132">
        <v>0.5</v>
      </c>
      <c r="AS19" s="132">
        <v>0</v>
      </c>
      <c r="AT19" s="132">
        <v>0</v>
      </c>
      <c r="AU19" s="132">
        <v>0</v>
      </c>
      <c r="AV19" s="132">
        <v>0</v>
      </c>
      <c r="AW19" s="132">
        <v>0</v>
      </c>
      <c r="AX19" s="132">
        <v>0</v>
      </c>
      <c r="AY19" s="132">
        <v>0</v>
      </c>
      <c r="AZ19" s="132">
        <v>0</v>
      </c>
      <c r="BA19" s="139"/>
      <c r="BB19" s="132">
        <v>0</v>
      </c>
      <c r="BC19" s="132">
        <v>0</v>
      </c>
      <c r="BD19" s="132">
        <v>0</v>
      </c>
      <c r="BE19" s="132">
        <v>0</v>
      </c>
      <c r="BF19" s="132">
        <v>0</v>
      </c>
      <c r="BG19" s="132">
        <v>0</v>
      </c>
      <c r="BH19" s="132">
        <v>0</v>
      </c>
      <c r="BI19" s="132">
        <v>0</v>
      </c>
      <c r="BJ19" s="132">
        <v>0</v>
      </c>
      <c r="BK19" s="132">
        <v>0</v>
      </c>
      <c r="BL19" s="132">
        <v>0</v>
      </c>
      <c r="BM19" s="132">
        <v>0</v>
      </c>
      <c r="BN19" s="132">
        <v>0</v>
      </c>
      <c r="BO19" s="132">
        <v>0</v>
      </c>
      <c r="BP19" s="139"/>
      <c r="BQ19" s="132">
        <v>0</v>
      </c>
      <c r="BR19" s="132">
        <v>0</v>
      </c>
      <c r="BS19" s="132">
        <v>0</v>
      </c>
      <c r="BT19" s="132" t="s">
        <v>37</v>
      </c>
      <c r="BU19" s="132" t="s">
        <v>37</v>
      </c>
      <c r="BV19" s="132" t="s">
        <v>37</v>
      </c>
      <c r="BW19" s="132" t="s">
        <v>37</v>
      </c>
      <c r="BX19" s="132" t="s">
        <v>37</v>
      </c>
      <c r="BY19" s="132" t="s">
        <v>37</v>
      </c>
      <c r="BZ19" s="132" t="s">
        <v>37</v>
      </c>
      <c r="CA19" s="139"/>
      <c r="CB19" s="132">
        <v>0</v>
      </c>
      <c r="CC19" s="132">
        <v>0.7</v>
      </c>
      <c r="CD19" s="132">
        <v>0.7</v>
      </c>
      <c r="CE19" s="132">
        <v>0.7</v>
      </c>
      <c r="CF19" s="132">
        <v>0.7</v>
      </c>
      <c r="CG19" s="132">
        <v>0.7</v>
      </c>
      <c r="CH19" s="132">
        <v>0.7</v>
      </c>
      <c r="CI19" s="132">
        <v>0.7</v>
      </c>
      <c r="CJ19" s="132">
        <v>0.7</v>
      </c>
      <c r="CK19" s="139"/>
      <c r="CL19" s="132">
        <v>0.7</v>
      </c>
      <c r="CM19" s="132">
        <v>0.7</v>
      </c>
      <c r="CN19" s="132">
        <v>0.7</v>
      </c>
      <c r="CO19" s="132">
        <v>0.7</v>
      </c>
      <c r="CP19" s="132">
        <v>0.7</v>
      </c>
      <c r="CQ19" s="132">
        <v>0.7</v>
      </c>
      <c r="CR19" s="132">
        <v>0.7</v>
      </c>
      <c r="CS19" s="132">
        <v>0.7</v>
      </c>
      <c r="CT19" s="132">
        <v>0.7</v>
      </c>
      <c r="CU19" s="132" t="s">
        <v>37</v>
      </c>
      <c r="CV19" s="132">
        <v>0.7</v>
      </c>
      <c r="CW19" s="132">
        <v>0.7</v>
      </c>
      <c r="CX19" s="132">
        <v>0.7</v>
      </c>
      <c r="CY19" s="139"/>
      <c r="CZ19" s="109">
        <v>0</v>
      </c>
      <c r="DA19" s="109" t="s">
        <v>37</v>
      </c>
      <c r="DB19" s="133" t="s">
        <v>37</v>
      </c>
      <c r="DC19" s="109">
        <v>0.7</v>
      </c>
      <c r="DD19" s="132">
        <v>0.7</v>
      </c>
      <c r="DE19" s="132">
        <v>0.7</v>
      </c>
      <c r="DF19" s="132">
        <v>0.7</v>
      </c>
      <c r="DG19" s="132">
        <v>0.7</v>
      </c>
      <c r="DH19" s="132">
        <v>0.7</v>
      </c>
      <c r="DI19" s="132">
        <v>0.7</v>
      </c>
      <c r="DJ19" s="132">
        <v>0.7</v>
      </c>
      <c r="DK19" s="132">
        <v>0.7</v>
      </c>
      <c r="DL19" s="149">
        <v>0.7</v>
      </c>
      <c r="DM19" s="139"/>
      <c r="DN19" s="132">
        <v>0.7</v>
      </c>
      <c r="DO19" s="132">
        <v>0.7</v>
      </c>
      <c r="DP19" s="109" t="s">
        <v>37</v>
      </c>
      <c r="DQ19" s="133" t="s">
        <v>37</v>
      </c>
      <c r="DR19" s="109" t="s">
        <v>37</v>
      </c>
      <c r="DS19" s="133" t="s">
        <v>37</v>
      </c>
      <c r="DT19" s="132">
        <v>0</v>
      </c>
      <c r="DU19" s="132">
        <v>0</v>
      </c>
      <c r="DV19" s="132">
        <v>0.7</v>
      </c>
      <c r="DW19" s="132">
        <v>0</v>
      </c>
      <c r="DX19" s="132">
        <v>0</v>
      </c>
      <c r="DY19" s="132">
        <v>0</v>
      </c>
      <c r="DZ19" s="132">
        <v>0.7</v>
      </c>
      <c r="EA19" s="132">
        <v>0.7</v>
      </c>
      <c r="EB19" s="5">
        <f t="shared" si="0"/>
        <v>49.500000000000064</v>
      </c>
      <c r="EC19" s="5">
        <v>6</v>
      </c>
      <c r="ED19" s="5">
        <f t="shared" si="2"/>
        <v>48</v>
      </c>
      <c r="EE19" s="7">
        <f t="shared" si="3"/>
        <v>-1.5000000000000639</v>
      </c>
      <c r="EF19" s="40" t="str">
        <f t="shared" si="4"/>
        <v>NO</v>
      </c>
      <c r="EG19" s="41" t="str">
        <f t="shared" si="1"/>
        <v>حمادوش انس</v>
      </c>
    </row>
    <row r="20" spans="1:137" x14ac:dyDescent="0.25">
      <c r="A20" s="130" t="s">
        <v>32</v>
      </c>
      <c r="B20" s="130"/>
      <c r="C20" s="130">
        <v>14</v>
      </c>
      <c r="D20" s="131">
        <v>45684</v>
      </c>
      <c r="E20" s="132" t="s">
        <v>37</v>
      </c>
      <c r="F20" s="132" t="s">
        <v>37</v>
      </c>
      <c r="G20" s="132">
        <v>4</v>
      </c>
      <c r="H20" s="132">
        <v>1</v>
      </c>
      <c r="I20" s="132">
        <v>0.5</v>
      </c>
      <c r="J20" s="132">
        <v>1</v>
      </c>
      <c r="K20" s="132">
        <v>1</v>
      </c>
      <c r="L20" s="132">
        <v>1</v>
      </c>
      <c r="M20" s="139"/>
      <c r="N20" s="132">
        <v>1</v>
      </c>
      <c r="O20" s="132">
        <v>1</v>
      </c>
      <c r="P20" s="132">
        <v>1</v>
      </c>
      <c r="Q20" s="132">
        <v>0.5</v>
      </c>
      <c r="R20" s="132">
        <v>1</v>
      </c>
      <c r="S20" s="132" t="s">
        <v>37</v>
      </c>
      <c r="T20" s="132">
        <v>0</v>
      </c>
      <c r="U20" s="132" t="s">
        <v>37</v>
      </c>
      <c r="V20" s="139"/>
      <c r="W20" s="132" t="s">
        <v>37</v>
      </c>
      <c r="X20" s="132" t="s">
        <v>37</v>
      </c>
      <c r="Y20" s="132">
        <v>1</v>
      </c>
      <c r="Z20" s="132">
        <v>1</v>
      </c>
      <c r="AA20" s="132">
        <v>0</v>
      </c>
      <c r="AB20" s="132">
        <v>1</v>
      </c>
      <c r="AC20" s="132">
        <v>0</v>
      </c>
      <c r="AD20" s="132">
        <v>1</v>
      </c>
      <c r="AE20" s="132">
        <v>1</v>
      </c>
      <c r="AF20" s="139"/>
      <c r="AG20" s="132">
        <v>1</v>
      </c>
      <c r="AH20" s="132">
        <v>1</v>
      </c>
      <c r="AI20" s="132">
        <v>1</v>
      </c>
      <c r="AJ20" s="132">
        <v>1</v>
      </c>
      <c r="AK20" s="132">
        <v>1</v>
      </c>
      <c r="AL20" s="132">
        <v>1</v>
      </c>
      <c r="AM20" s="132" t="s">
        <v>37</v>
      </c>
      <c r="AN20" s="132" t="s">
        <v>37</v>
      </c>
      <c r="AO20" s="132">
        <v>0.5</v>
      </c>
      <c r="AP20" s="139"/>
      <c r="AQ20" s="132">
        <v>1</v>
      </c>
      <c r="AR20" s="132">
        <v>1</v>
      </c>
      <c r="AS20" s="132">
        <v>1</v>
      </c>
      <c r="AT20" s="132">
        <v>0</v>
      </c>
      <c r="AU20" s="132">
        <v>0</v>
      </c>
      <c r="AV20" s="132">
        <v>1</v>
      </c>
      <c r="AW20" s="132">
        <v>0</v>
      </c>
      <c r="AX20" s="132">
        <v>1</v>
      </c>
      <c r="AY20" s="132">
        <v>1</v>
      </c>
      <c r="AZ20" s="132">
        <v>1</v>
      </c>
      <c r="BA20" s="139"/>
      <c r="BB20" s="132">
        <v>0.75</v>
      </c>
      <c r="BC20" s="132">
        <v>0.75</v>
      </c>
      <c r="BD20" s="132">
        <v>0.75</v>
      </c>
      <c r="BE20" s="132">
        <v>0</v>
      </c>
      <c r="BF20" s="132">
        <v>0.75</v>
      </c>
      <c r="BG20" s="132">
        <v>0.75</v>
      </c>
      <c r="BH20" s="132">
        <v>0.75</v>
      </c>
      <c r="BI20" s="132">
        <v>0.75</v>
      </c>
      <c r="BJ20" s="132">
        <v>0</v>
      </c>
      <c r="BK20" s="132">
        <v>0.75</v>
      </c>
      <c r="BL20" s="132">
        <v>0.75</v>
      </c>
      <c r="BM20" s="132">
        <v>0.75</v>
      </c>
      <c r="BN20" s="132">
        <v>0.75</v>
      </c>
      <c r="BO20" s="132">
        <v>0.75</v>
      </c>
      <c r="BP20" s="139"/>
      <c r="BQ20" s="132">
        <v>0.75</v>
      </c>
      <c r="BR20" s="132">
        <v>0.75</v>
      </c>
      <c r="BS20" s="132">
        <v>0.75</v>
      </c>
      <c r="BT20" s="132" t="s">
        <v>37</v>
      </c>
      <c r="BU20" s="132" t="s">
        <v>37</v>
      </c>
      <c r="BV20" s="132" t="s">
        <v>37</v>
      </c>
      <c r="BW20" s="132" t="s">
        <v>37</v>
      </c>
      <c r="BX20" s="132" t="s">
        <v>37</v>
      </c>
      <c r="BY20" s="132" t="s">
        <v>37</v>
      </c>
      <c r="BZ20" s="132" t="s">
        <v>37</v>
      </c>
      <c r="CA20" s="139"/>
      <c r="CB20" s="132">
        <v>0</v>
      </c>
      <c r="CC20" s="132">
        <v>0</v>
      </c>
      <c r="CD20" s="132">
        <v>0</v>
      </c>
      <c r="CE20" s="132">
        <v>0.7</v>
      </c>
      <c r="CF20" s="132">
        <v>0.7</v>
      </c>
      <c r="CG20" s="132">
        <v>0.7</v>
      </c>
      <c r="CH20" s="132">
        <v>0.7</v>
      </c>
      <c r="CI20" s="132">
        <v>0.7</v>
      </c>
      <c r="CJ20" s="132">
        <v>0.7</v>
      </c>
      <c r="CK20" s="139"/>
      <c r="CL20" s="132">
        <v>0</v>
      </c>
      <c r="CM20" s="132">
        <v>0.7</v>
      </c>
      <c r="CN20" s="132">
        <v>0.7</v>
      </c>
      <c r="CO20" s="132">
        <v>0.7</v>
      </c>
      <c r="CP20" s="132">
        <v>0</v>
      </c>
      <c r="CQ20" s="132">
        <v>0.7</v>
      </c>
      <c r="CR20" s="132">
        <v>0</v>
      </c>
      <c r="CS20" s="132">
        <v>0.7</v>
      </c>
      <c r="CT20" s="132">
        <v>0.7</v>
      </c>
      <c r="CU20" s="132" t="s">
        <v>37</v>
      </c>
      <c r="CV20" s="132">
        <v>0.7</v>
      </c>
      <c r="CW20" s="132">
        <v>0</v>
      </c>
      <c r="CX20" s="132">
        <v>0.7</v>
      </c>
      <c r="CY20" s="139"/>
      <c r="CZ20" s="109">
        <v>0</v>
      </c>
      <c r="DA20" s="109" t="s">
        <v>37</v>
      </c>
      <c r="DB20" s="133" t="s">
        <v>37</v>
      </c>
      <c r="DC20" s="109">
        <v>0.7</v>
      </c>
      <c r="DD20" s="132">
        <v>0.7</v>
      </c>
      <c r="DE20" s="132">
        <v>0.7</v>
      </c>
      <c r="DF20" s="132">
        <v>0.7</v>
      </c>
      <c r="DG20" s="132">
        <v>0.7</v>
      </c>
      <c r="DH20" s="132">
        <v>0</v>
      </c>
      <c r="DI20" s="132">
        <v>0</v>
      </c>
      <c r="DJ20" s="132">
        <v>0.7</v>
      </c>
      <c r="DK20" s="132">
        <v>0.7</v>
      </c>
      <c r="DL20" s="149">
        <v>0.7</v>
      </c>
      <c r="DM20" s="139"/>
      <c r="DN20" s="132">
        <v>0.7</v>
      </c>
      <c r="DO20" s="132">
        <v>0.7</v>
      </c>
      <c r="DP20" s="109" t="s">
        <v>37</v>
      </c>
      <c r="DQ20" s="133" t="s">
        <v>37</v>
      </c>
      <c r="DR20" s="109" t="s">
        <v>37</v>
      </c>
      <c r="DS20" s="133" t="s">
        <v>37</v>
      </c>
      <c r="DT20" s="132">
        <v>0.7</v>
      </c>
      <c r="DU20" s="132">
        <v>0.7</v>
      </c>
      <c r="DV20" s="132">
        <v>0</v>
      </c>
      <c r="DW20" s="132">
        <v>0.7</v>
      </c>
      <c r="DX20" s="132">
        <v>0.7</v>
      </c>
      <c r="DY20" s="132">
        <v>0.7</v>
      </c>
      <c r="DZ20" s="132">
        <v>0.7</v>
      </c>
      <c r="EA20" s="132">
        <v>0.7</v>
      </c>
      <c r="EB20" s="5">
        <f t="shared" si="0"/>
        <v>64.450000000000088</v>
      </c>
      <c r="EC20" s="5">
        <v>8</v>
      </c>
      <c r="ED20" s="5">
        <f t="shared" si="2"/>
        <v>64</v>
      </c>
      <c r="EE20" s="7">
        <f t="shared" si="3"/>
        <v>-0.45000000000008811</v>
      </c>
      <c r="EF20" s="40" t="str">
        <f t="shared" si="4"/>
        <v>NO</v>
      </c>
      <c r="EG20" s="41" t="str">
        <f t="shared" si="1"/>
        <v>نصيرة ذاكر</v>
      </c>
    </row>
    <row r="21" spans="1:137" x14ac:dyDescent="0.25">
      <c r="A21" s="130" t="s">
        <v>33</v>
      </c>
      <c r="B21" s="130"/>
      <c r="C21" s="130">
        <v>15</v>
      </c>
      <c r="D21" s="138">
        <v>45705</v>
      </c>
      <c r="E21" s="132">
        <v>4</v>
      </c>
      <c r="F21" s="132">
        <v>1</v>
      </c>
      <c r="G21" s="132">
        <v>1</v>
      </c>
      <c r="H21" s="132">
        <v>1</v>
      </c>
      <c r="I21" s="132">
        <v>1</v>
      </c>
      <c r="J21" s="132">
        <v>1</v>
      </c>
      <c r="K21" s="132">
        <v>1</v>
      </c>
      <c r="L21" s="132">
        <v>1</v>
      </c>
      <c r="M21" s="139"/>
      <c r="N21" s="132">
        <v>1</v>
      </c>
      <c r="O21" s="132">
        <v>1</v>
      </c>
      <c r="P21" s="132">
        <v>1</v>
      </c>
      <c r="Q21" s="132">
        <v>1</v>
      </c>
      <c r="R21" s="132">
        <v>1</v>
      </c>
      <c r="S21" s="132" t="s">
        <v>37</v>
      </c>
      <c r="T21" s="132">
        <v>1</v>
      </c>
      <c r="U21" s="132" t="s">
        <v>37</v>
      </c>
      <c r="V21" s="139"/>
      <c r="W21" s="132" t="s">
        <v>37</v>
      </c>
      <c r="X21" s="132" t="s">
        <v>37</v>
      </c>
      <c r="Y21" s="132">
        <v>1</v>
      </c>
      <c r="Z21" s="132">
        <v>1</v>
      </c>
      <c r="AA21" s="132">
        <v>1</v>
      </c>
      <c r="AB21" s="132">
        <v>1</v>
      </c>
      <c r="AC21" s="132">
        <v>1</v>
      </c>
      <c r="AD21" s="132">
        <v>1</v>
      </c>
      <c r="AE21" s="132">
        <v>1</v>
      </c>
      <c r="AF21" s="139"/>
      <c r="AG21" s="132">
        <v>1</v>
      </c>
      <c r="AH21" s="132">
        <v>1</v>
      </c>
      <c r="AI21" s="132">
        <v>1</v>
      </c>
      <c r="AJ21" s="132">
        <v>1</v>
      </c>
      <c r="AK21" s="132">
        <v>1</v>
      </c>
      <c r="AL21" s="132">
        <v>1</v>
      </c>
      <c r="AM21" s="132" t="s">
        <v>37</v>
      </c>
      <c r="AN21" s="132" t="s">
        <v>37</v>
      </c>
      <c r="AO21" s="132">
        <v>1</v>
      </c>
      <c r="AP21" s="139"/>
      <c r="AQ21" s="132">
        <v>1</v>
      </c>
      <c r="AR21" s="132">
        <v>0.5</v>
      </c>
      <c r="AS21" s="132">
        <v>1</v>
      </c>
      <c r="AT21" s="132">
        <v>0</v>
      </c>
      <c r="AU21" s="132">
        <v>0</v>
      </c>
      <c r="AV21" s="132">
        <v>1</v>
      </c>
      <c r="AW21" s="132">
        <v>0</v>
      </c>
      <c r="AX21" s="132">
        <v>1</v>
      </c>
      <c r="AY21" s="132">
        <v>1</v>
      </c>
      <c r="AZ21" s="132">
        <v>0</v>
      </c>
      <c r="BA21" s="139"/>
      <c r="BB21" s="132">
        <v>0.75</v>
      </c>
      <c r="BC21" s="132">
        <v>0.75</v>
      </c>
      <c r="BD21" s="132">
        <v>0.75</v>
      </c>
      <c r="BE21" s="132">
        <v>0.75</v>
      </c>
      <c r="BF21" s="132">
        <v>0.75</v>
      </c>
      <c r="BG21" s="132">
        <v>0.75</v>
      </c>
      <c r="BH21" s="132">
        <v>0.75</v>
      </c>
      <c r="BI21" s="132">
        <v>0.75</v>
      </c>
      <c r="BJ21" s="132">
        <v>0.75</v>
      </c>
      <c r="BK21" s="132">
        <v>0.75</v>
      </c>
      <c r="BL21" s="132">
        <v>0</v>
      </c>
      <c r="BM21" s="132">
        <v>0</v>
      </c>
      <c r="BN21" s="132">
        <v>0</v>
      </c>
      <c r="BO21" s="132">
        <v>0</v>
      </c>
      <c r="BP21" s="139"/>
      <c r="BQ21" s="132">
        <v>0</v>
      </c>
      <c r="BR21" s="132">
        <v>0</v>
      </c>
      <c r="BS21" s="132">
        <v>0.75</v>
      </c>
      <c r="BT21" s="132" t="s">
        <v>37</v>
      </c>
      <c r="BU21" s="132" t="s">
        <v>37</v>
      </c>
      <c r="BV21" s="132" t="s">
        <v>37</v>
      </c>
      <c r="BW21" s="132" t="s">
        <v>37</v>
      </c>
      <c r="BX21" s="132" t="s">
        <v>37</v>
      </c>
      <c r="BY21" s="132" t="s">
        <v>37</v>
      </c>
      <c r="BZ21" s="132" t="s">
        <v>37</v>
      </c>
      <c r="CA21" s="139"/>
      <c r="CB21" s="132">
        <v>0.7</v>
      </c>
      <c r="CC21" s="132">
        <v>0.7</v>
      </c>
      <c r="CD21" s="132">
        <v>0.7</v>
      </c>
      <c r="CE21" s="132">
        <v>0.7</v>
      </c>
      <c r="CF21" s="132">
        <v>0.7</v>
      </c>
      <c r="CG21" s="132">
        <v>0.7</v>
      </c>
      <c r="CH21" s="132">
        <v>0.7</v>
      </c>
      <c r="CI21" s="132">
        <v>0.7</v>
      </c>
      <c r="CJ21" s="132">
        <v>0.7</v>
      </c>
      <c r="CK21" s="139"/>
      <c r="CL21" s="132">
        <v>0.7</v>
      </c>
      <c r="CM21" s="132">
        <v>0.7</v>
      </c>
      <c r="CN21" s="132">
        <v>0.7</v>
      </c>
      <c r="CO21" s="132">
        <v>0.7</v>
      </c>
      <c r="CP21" s="132">
        <v>0.7</v>
      </c>
      <c r="CQ21" s="132">
        <v>0.7</v>
      </c>
      <c r="CR21" s="132">
        <v>0.7</v>
      </c>
      <c r="CS21" s="132">
        <v>0.7</v>
      </c>
      <c r="CT21" s="132">
        <v>0.7</v>
      </c>
      <c r="CU21" s="132" t="s">
        <v>37</v>
      </c>
      <c r="CV21" s="132">
        <v>0.7</v>
      </c>
      <c r="CW21" s="132">
        <v>0.7</v>
      </c>
      <c r="CX21" s="132">
        <v>0</v>
      </c>
      <c r="CY21" s="139"/>
      <c r="CZ21" s="109">
        <v>0.7</v>
      </c>
      <c r="DA21" s="109" t="s">
        <v>37</v>
      </c>
      <c r="DB21" s="133" t="s">
        <v>37</v>
      </c>
      <c r="DC21" s="109">
        <v>0</v>
      </c>
      <c r="DD21" s="132">
        <v>0.7</v>
      </c>
      <c r="DE21" s="132">
        <v>0.7</v>
      </c>
      <c r="DF21" s="132">
        <v>0.7</v>
      </c>
      <c r="DG21" s="132">
        <v>0.7</v>
      </c>
      <c r="DH21" s="132">
        <v>0.7</v>
      </c>
      <c r="DI21" s="132">
        <v>0.7</v>
      </c>
      <c r="DJ21" s="132">
        <v>0.7</v>
      </c>
      <c r="DK21" s="132">
        <v>0</v>
      </c>
      <c r="DL21" s="132">
        <v>0.7</v>
      </c>
      <c r="DM21" s="139"/>
      <c r="DN21" s="132">
        <v>0.7</v>
      </c>
      <c r="DO21" s="132">
        <v>0</v>
      </c>
      <c r="DP21" s="109" t="s">
        <v>37</v>
      </c>
      <c r="DQ21" s="133" t="s">
        <v>37</v>
      </c>
      <c r="DR21" s="109" t="s">
        <v>37</v>
      </c>
      <c r="DS21" s="133" t="s">
        <v>37</v>
      </c>
      <c r="DT21" s="132">
        <v>0</v>
      </c>
      <c r="DU21" s="132">
        <v>0.7</v>
      </c>
      <c r="DV21" s="132">
        <v>0.7</v>
      </c>
      <c r="DW21" s="132">
        <v>0</v>
      </c>
      <c r="DX21" s="132">
        <v>0</v>
      </c>
      <c r="DY21" s="132">
        <v>0.7</v>
      </c>
      <c r="DZ21" s="132">
        <v>0.7</v>
      </c>
      <c r="EA21" s="132">
        <v>0.7</v>
      </c>
      <c r="EB21" s="5">
        <f t="shared" si="0"/>
        <v>69.250000000000099</v>
      </c>
      <c r="EC21" s="5">
        <v>8</v>
      </c>
      <c r="ED21" s="5">
        <f t="shared" si="2"/>
        <v>64</v>
      </c>
      <c r="EE21" s="7">
        <f t="shared" si="3"/>
        <v>-5.2500000000000995</v>
      </c>
      <c r="EF21" s="40" t="str">
        <f t="shared" si="4"/>
        <v>NO</v>
      </c>
      <c r="EG21" s="41" t="str">
        <f t="shared" si="1"/>
        <v>ذياب نورهان</v>
      </c>
    </row>
    <row r="22" spans="1:137" x14ac:dyDescent="0.25">
      <c r="A22" s="130" t="s">
        <v>36</v>
      </c>
      <c r="B22" s="130"/>
      <c r="C22" s="130">
        <v>16</v>
      </c>
      <c r="D22" s="131">
        <v>45706</v>
      </c>
      <c r="E22" s="132" t="s">
        <v>37</v>
      </c>
      <c r="F22" s="132" t="s">
        <v>37</v>
      </c>
      <c r="G22" s="132" t="s">
        <v>37</v>
      </c>
      <c r="H22" s="132" t="s">
        <v>37</v>
      </c>
      <c r="I22" s="132">
        <v>1</v>
      </c>
      <c r="J22" s="132">
        <v>1</v>
      </c>
      <c r="K22" s="132">
        <v>1</v>
      </c>
      <c r="L22" s="132">
        <v>1</v>
      </c>
      <c r="M22" s="139"/>
      <c r="N22" s="132">
        <v>1</v>
      </c>
      <c r="O22" s="132">
        <v>1</v>
      </c>
      <c r="P22" s="132">
        <v>0.5</v>
      </c>
      <c r="Q22" s="132">
        <v>1</v>
      </c>
      <c r="R22" s="132">
        <v>0</v>
      </c>
      <c r="S22" s="132" t="s">
        <v>37</v>
      </c>
      <c r="T22" s="132">
        <v>0</v>
      </c>
      <c r="U22" s="132" t="s">
        <v>37</v>
      </c>
      <c r="V22" s="139"/>
      <c r="W22" s="132" t="s">
        <v>37</v>
      </c>
      <c r="X22" s="132" t="s">
        <v>37</v>
      </c>
      <c r="Y22" s="132">
        <v>1</v>
      </c>
      <c r="Z22" s="132">
        <v>1</v>
      </c>
      <c r="AA22" s="132">
        <v>1</v>
      </c>
      <c r="AB22" s="132">
        <v>1</v>
      </c>
      <c r="AC22" s="132">
        <v>0</v>
      </c>
      <c r="AD22" s="132">
        <v>0</v>
      </c>
      <c r="AE22" s="132">
        <v>1</v>
      </c>
      <c r="AF22" s="139"/>
      <c r="AG22" s="132">
        <v>1</v>
      </c>
      <c r="AH22" s="132">
        <v>1</v>
      </c>
      <c r="AI22" s="132">
        <v>1</v>
      </c>
      <c r="AJ22" s="132">
        <v>1</v>
      </c>
      <c r="AK22" s="132">
        <v>1</v>
      </c>
      <c r="AL22" s="132">
        <v>1</v>
      </c>
      <c r="AM22" s="132" t="s">
        <v>37</v>
      </c>
      <c r="AN22" s="132" t="s">
        <v>37</v>
      </c>
      <c r="AO22" s="132">
        <v>1</v>
      </c>
      <c r="AP22" s="139"/>
      <c r="AQ22" s="132">
        <v>0.5</v>
      </c>
      <c r="AR22" s="132">
        <v>0.5</v>
      </c>
      <c r="AS22" s="132">
        <v>0</v>
      </c>
      <c r="AT22" s="132">
        <v>0</v>
      </c>
      <c r="AU22" s="132">
        <v>0</v>
      </c>
      <c r="AV22" s="132">
        <v>0</v>
      </c>
      <c r="AW22" s="132">
        <v>0</v>
      </c>
      <c r="AX22" s="132">
        <v>0</v>
      </c>
      <c r="AY22" s="132">
        <v>0</v>
      </c>
      <c r="AZ22" s="132">
        <v>0</v>
      </c>
      <c r="BA22" s="139"/>
      <c r="BB22" s="132">
        <v>0</v>
      </c>
      <c r="BC22" s="132">
        <v>0</v>
      </c>
      <c r="BD22" s="132">
        <v>0</v>
      </c>
      <c r="BE22" s="132">
        <v>0</v>
      </c>
      <c r="BF22" s="132">
        <v>0</v>
      </c>
      <c r="BG22" s="132">
        <v>0</v>
      </c>
      <c r="BH22" s="132">
        <v>0</v>
      </c>
      <c r="BI22" s="132">
        <v>0</v>
      </c>
      <c r="BJ22" s="132">
        <v>0</v>
      </c>
      <c r="BK22" s="132">
        <v>0</v>
      </c>
      <c r="BL22" s="132">
        <v>0</v>
      </c>
      <c r="BM22" s="132">
        <v>0</v>
      </c>
      <c r="BN22" s="132">
        <v>0</v>
      </c>
      <c r="BO22" s="132">
        <v>0</v>
      </c>
      <c r="BP22" s="139"/>
      <c r="BQ22" s="132">
        <v>0</v>
      </c>
      <c r="BR22" s="132">
        <v>0</v>
      </c>
      <c r="BS22" s="132">
        <v>0</v>
      </c>
      <c r="BT22" s="132" t="s">
        <v>37</v>
      </c>
      <c r="BU22" s="132" t="s">
        <v>37</v>
      </c>
      <c r="BV22" s="132" t="s">
        <v>37</v>
      </c>
      <c r="BW22" s="132" t="s">
        <v>37</v>
      </c>
      <c r="BX22" s="132" t="s">
        <v>37</v>
      </c>
      <c r="BY22" s="132" t="s">
        <v>37</v>
      </c>
      <c r="BZ22" s="132" t="s">
        <v>37</v>
      </c>
      <c r="CA22" s="139"/>
      <c r="CB22" s="132">
        <v>0</v>
      </c>
      <c r="CC22" s="132">
        <v>0</v>
      </c>
      <c r="CD22" s="132">
        <v>0</v>
      </c>
      <c r="CE22" s="132">
        <v>0</v>
      </c>
      <c r="CF22" s="132">
        <v>0</v>
      </c>
      <c r="CG22" s="132">
        <v>0</v>
      </c>
      <c r="CH22" s="132">
        <v>0.7</v>
      </c>
      <c r="CI22" s="132">
        <v>0.7</v>
      </c>
      <c r="CJ22" s="132">
        <v>0.7</v>
      </c>
      <c r="CK22" s="139"/>
      <c r="CL22" s="132">
        <v>0.7</v>
      </c>
      <c r="CM22" s="132">
        <v>0.7</v>
      </c>
      <c r="CN22" s="132">
        <v>0.7</v>
      </c>
      <c r="CO22" s="132">
        <v>0.7</v>
      </c>
      <c r="CP22" s="132">
        <v>0.7</v>
      </c>
      <c r="CQ22" s="132">
        <v>0.7</v>
      </c>
      <c r="CR22" s="132">
        <v>0.7</v>
      </c>
      <c r="CS22" s="132">
        <v>0.7</v>
      </c>
      <c r="CT22" s="132">
        <v>0.7</v>
      </c>
      <c r="CU22" s="132" t="s">
        <v>37</v>
      </c>
      <c r="CV22" s="132">
        <v>0.7</v>
      </c>
      <c r="CW22" s="132">
        <v>0.7</v>
      </c>
      <c r="CX22" s="132">
        <v>0.7</v>
      </c>
      <c r="CY22" s="139"/>
      <c r="CZ22" s="109">
        <v>0.7</v>
      </c>
      <c r="DA22" s="109" t="s">
        <v>37</v>
      </c>
      <c r="DB22" s="133" t="s">
        <v>37</v>
      </c>
      <c r="DC22" s="109">
        <v>0.7</v>
      </c>
      <c r="DD22" s="132">
        <v>0.7</v>
      </c>
      <c r="DE22" s="132">
        <v>0.7</v>
      </c>
      <c r="DF22" s="132">
        <v>0.7</v>
      </c>
      <c r="DG22" s="132">
        <v>0.7</v>
      </c>
      <c r="DH22" s="132">
        <v>0.7</v>
      </c>
      <c r="DI22" s="132">
        <v>0.7</v>
      </c>
      <c r="DJ22" s="132">
        <v>0.7</v>
      </c>
      <c r="DK22" s="132">
        <v>0.7</v>
      </c>
      <c r="DL22" s="149">
        <v>0.7</v>
      </c>
      <c r="DM22" s="139"/>
      <c r="DN22" s="132">
        <v>0.7</v>
      </c>
      <c r="DO22" s="132">
        <v>0.7</v>
      </c>
      <c r="DP22" s="109" t="s">
        <v>37</v>
      </c>
      <c r="DQ22" s="133" t="s">
        <v>37</v>
      </c>
      <c r="DR22" s="109" t="s">
        <v>37</v>
      </c>
      <c r="DS22" s="133" t="s">
        <v>37</v>
      </c>
      <c r="DT22" s="132">
        <v>0.7</v>
      </c>
      <c r="DU22" s="132">
        <v>0</v>
      </c>
      <c r="DV22" s="132">
        <v>0</v>
      </c>
      <c r="DW22" s="132">
        <v>0</v>
      </c>
      <c r="DX22" s="132">
        <v>0</v>
      </c>
      <c r="DY22" s="132">
        <v>0</v>
      </c>
      <c r="DZ22" s="132">
        <v>0</v>
      </c>
      <c r="EA22" s="132">
        <v>0</v>
      </c>
      <c r="EB22" s="5">
        <f t="shared" si="0"/>
        <v>40.800000000000026</v>
      </c>
      <c r="EC22" s="5">
        <v>5</v>
      </c>
      <c r="ED22" s="5">
        <f t="shared" si="2"/>
        <v>40</v>
      </c>
      <c r="EE22" s="7">
        <f t="shared" si="3"/>
        <v>-0.80000000000002558</v>
      </c>
      <c r="EF22" s="40" t="str">
        <f t="shared" si="4"/>
        <v>NO</v>
      </c>
      <c r="EG22" s="41" t="str">
        <f t="shared" si="1"/>
        <v>بوغزال زكريا</v>
      </c>
    </row>
    <row r="23" spans="1:137" x14ac:dyDescent="0.25">
      <c r="A23" s="130" t="s">
        <v>35</v>
      </c>
      <c r="B23" s="130"/>
      <c r="C23" s="130">
        <v>17</v>
      </c>
      <c r="D23" s="131">
        <v>45706</v>
      </c>
      <c r="E23" s="132" t="s">
        <v>37</v>
      </c>
      <c r="F23" s="132" t="s">
        <v>37</v>
      </c>
      <c r="G23" s="132" t="s">
        <v>37</v>
      </c>
      <c r="H23" s="132" t="s">
        <v>37</v>
      </c>
      <c r="I23" s="132">
        <v>1</v>
      </c>
      <c r="J23" s="132">
        <v>1</v>
      </c>
      <c r="K23" s="132">
        <v>1</v>
      </c>
      <c r="L23" s="132">
        <v>1</v>
      </c>
      <c r="M23" s="139"/>
      <c r="N23" s="132">
        <v>1</v>
      </c>
      <c r="O23" s="132">
        <v>1</v>
      </c>
      <c r="P23" s="132">
        <v>0.5</v>
      </c>
      <c r="Q23" s="132">
        <v>0.5</v>
      </c>
      <c r="R23" s="132">
        <v>0</v>
      </c>
      <c r="S23" s="132" t="s">
        <v>37</v>
      </c>
      <c r="T23" s="132">
        <v>0</v>
      </c>
      <c r="U23" s="132" t="s">
        <v>37</v>
      </c>
      <c r="V23" s="139"/>
      <c r="W23" s="132" t="s">
        <v>37</v>
      </c>
      <c r="X23" s="132" t="s">
        <v>37</v>
      </c>
      <c r="Y23" s="132">
        <v>1</v>
      </c>
      <c r="Z23" s="132">
        <v>1</v>
      </c>
      <c r="AA23" s="132">
        <v>1</v>
      </c>
      <c r="AB23" s="132">
        <v>1</v>
      </c>
      <c r="AC23" s="132">
        <v>0</v>
      </c>
      <c r="AD23" s="132">
        <v>1</v>
      </c>
      <c r="AE23" s="132">
        <v>1</v>
      </c>
      <c r="AF23" s="139"/>
      <c r="AG23" s="132">
        <v>1</v>
      </c>
      <c r="AH23" s="132">
        <v>1</v>
      </c>
      <c r="AI23" s="132">
        <v>1</v>
      </c>
      <c r="AJ23" s="132">
        <v>0.5</v>
      </c>
      <c r="AK23" s="132">
        <v>0.5</v>
      </c>
      <c r="AL23" s="132">
        <v>1</v>
      </c>
      <c r="AM23" s="132" t="s">
        <v>37</v>
      </c>
      <c r="AN23" s="132" t="s">
        <v>37</v>
      </c>
      <c r="AO23" s="132">
        <v>1</v>
      </c>
      <c r="AP23" s="139"/>
      <c r="AQ23" s="132">
        <v>0.5</v>
      </c>
      <c r="AR23" s="132">
        <v>1</v>
      </c>
      <c r="AS23" s="132">
        <v>1</v>
      </c>
      <c r="AT23" s="132">
        <v>0</v>
      </c>
      <c r="AU23" s="132">
        <v>0</v>
      </c>
      <c r="AV23" s="132">
        <v>1</v>
      </c>
      <c r="AW23" s="132">
        <v>0</v>
      </c>
      <c r="AX23" s="132">
        <v>1</v>
      </c>
      <c r="AY23" s="132">
        <v>0</v>
      </c>
      <c r="AZ23" s="132">
        <v>0</v>
      </c>
      <c r="BA23" s="139"/>
      <c r="BB23" s="132">
        <v>0</v>
      </c>
      <c r="BC23" s="132">
        <v>0</v>
      </c>
      <c r="BD23" s="132">
        <v>0</v>
      </c>
      <c r="BE23" s="132">
        <v>0</v>
      </c>
      <c r="BF23" s="132">
        <v>0</v>
      </c>
      <c r="BG23" s="132">
        <v>0</v>
      </c>
      <c r="BH23" s="132">
        <v>0</v>
      </c>
      <c r="BI23" s="132">
        <v>0</v>
      </c>
      <c r="BJ23" s="132">
        <v>0</v>
      </c>
      <c r="BK23" s="132">
        <v>0</v>
      </c>
      <c r="BL23" s="132">
        <v>0</v>
      </c>
      <c r="BM23" s="132">
        <v>0</v>
      </c>
      <c r="BN23" s="132">
        <v>0</v>
      </c>
      <c r="BO23" s="132">
        <v>0</v>
      </c>
      <c r="BP23" s="139"/>
      <c r="BQ23" s="132">
        <v>0</v>
      </c>
      <c r="BR23" s="132">
        <v>0</v>
      </c>
      <c r="BS23" s="132">
        <v>0</v>
      </c>
      <c r="BT23" s="132" t="s">
        <v>37</v>
      </c>
      <c r="BU23" s="132" t="s">
        <v>37</v>
      </c>
      <c r="BV23" s="132" t="s">
        <v>37</v>
      </c>
      <c r="BW23" s="132" t="s">
        <v>37</v>
      </c>
      <c r="BX23" s="132" t="s">
        <v>37</v>
      </c>
      <c r="BY23" s="132" t="s">
        <v>37</v>
      </c>
      <c r="BZ23" s="132" t="s">
        <v>37</v>
      </c>
      <c r="CA23" s="139"/>
      <c r="CB23" s="132">
        <v>0</v>
      </c>
      <c r="CC23" s="132">
        <v>0</v>
      </c>
      <c r="CD23" s="132">
        <v>0</v>
      </c>
      <c r="CE23" s="132">
        <v>0</v>
      </c>
      <c r="CF23" s="132">
        <v>0</v>
      </c>
      <c r="CG23" s="132">
        <v>0.7</v>
      </c>
      <c r="CH23" s="132">
        <v>0.7</v>
      </c>
      <c r="CI23" s="132">
        <v>0.7</v>
      </c>
      <c r="CJ23" s="132">
        <v>0.7</v>
      </c>
      <c r="CK23" s="139"/>
      <c r="CL23" s="132">
        <v>0.7</v>
      </c>
      <c r="CM23" s="132">
        <v>0.7</v>
      </c>
      <c r="CN23" s="132">
        <v>0.7</v>
      </c>
      <c r="CO23" s="132">
        <v>0.7</v>
      </c>
      <c r="CP23" s="132">
        <v>0.7</v>
      </c>
      <c r="CQ23" s="132">
        <v>0.7</v>
      </c>
      <c r="CR23" s="132">
        <v>0.7</v>
      </c>
      <c r="CS23" s="132">
        <v>0.7</v>
      </c>
      <c r="CT23" s="132">
        <v>0.7</v>
      </c>
      <c r="CU23" s="132" t="s">
        <v>37</v>
      </c>
      <c r="CV23" s="132">
        <v>0.7</v>
      </c>
      <c r="CW23" s="132">
        <v>0.7</v>
      </c>
      <c r="CX23" s="132">
        <v>0.7</v>
      </c>
      <c r="CY23" s="139"/>
      <c r="CZ23" s="109">
        <v>0.7</v>
      </c>
      <c r="DA23" s="109" t="s">
        <v>37</v>
      </c>
      <c r="DB23" s="133" t="s">
        <v>37</v>
      </c>
      <c r="DC23" s="109">
        <v>0.7</v>
      </c>
      <c r="DD23" s="132">
        <v>0.7</v>
      </c>
      <c r="DE23" s="132">
        <v>0.7</v>
      </c>
      <c r="DF23" s="132">
        <v>0.7</v>
      </c>
      <c r="DG23" s="132">
        <v>0.7</v>
      </c>
      <c r="DH23" s="132">
        <v>0.7</v>
      </c>
      <c r="DI23" s="132">
        <v>0.7</v>
      </c>
      <c r="DJ23" s="132">
        <v>0.7</v>
      </c>
      <c r="DK23" s="132">
        <v>0.7</v>
      </c>
      <c r="DL23" s="149">
        <v>0.7</v>
      </c>
      <c r="DM23" s="139"/>
      <c r="DN23" s="132">
        <v>0.7</v>
      </c>
      <c r="DO23" s="132">
        <v>0.7</v>
      </c>
      <c r="DP23" s="109" t="s">
        <v>37</v>
      </c>
      <c r="DQ23" s="133" t="s">
        <v>37</v>
      </c>
      <c r="DR23" s="109" t="s">
        <v>37</v>
      </c>
      <c r="DS23" s="133" t="s">
        <v>37</v>
      </c>
      <c r="DT23" s="132">
        <v>0.7</v>
      </c>
      <c r="DU23" s="132">
        <v>0</v>
      </c>
      <c r="DV23" s="132">
        <v>0.7</v>
      </c>
      <c r="DW23" s="132">
        <v>0.7</v>
      </c>
      <c r="DX23" s="132">
        <v>0.7</v>
      </c>
      <c r="DY23" s="132">
        <v>0.7</v>
      </c>
      <c r="DZ23" s="132">
        <v>0.7</v>
      </c>
      <c r="EA23" s="132">
        <v>0.7</v>
      </c>
      <c r="EB23" s="5">
        <f t="shared" si="0"/>
        <v>48.70000000000006</v>
      </c>
      <c r="EC23" s="5">
        <v>8</v>
      </c>
      <c r="ED23" s="5">
        <f t="shared" si="2"/>
        <v>64</v>
      </c>
      <c r="EE23" s="7">
        <f t="shared" si="3"/>
        <v>15.29999999999994</v>
      </c>
      <c r="EF23" s="40" t="str">
        <f t="shared" si="4"/>
        <v/>
      </c>
      <c r="EG23" s="41" t="str">
        <f t="shared" si="1"/>
        <v/>
      </c>
    </row>
    <row r="24" spans="1:137" x14ac:dyDescent="0.25">
      <c r="A24" s="129" t="s">
        <v>109</v>
      </c>
      <c r="B24" s="129"/>
      <c r="C24" s="130">
        <v>18</v>
      </c>
      <c r="D24" s="131">
        <v>45726</v>
      </c>
      <c r="E24" s="132" t="s">
        <v>37</v>
      </c>
      <c r="F24" s="132" t="s">
        <v>37</v>
      </c>
      <c r="G24" s="132" t="s">
        <v>37</v>
      </c>
      <c r="H24" s="132" t="s">
        <v>37</v>
      </c>
      <c r="I24" s="132" t="s">
        <v>37</v>
      </c>
      <c r="J24" s="132" t="s">
        <v>37</v>
      </c>
      <c r="K24" s="132" t="s">
        <v>37</v>
      </c>
      <c r="L24" s="132" t="s">
        <v>37</v>
      </c>
      <c r="M24" s="139"/>
      <c r="N24" s="132" t="s">
        <v>37</v>
      </c>
      <c r="O24" s="132" t="s">
        <v>37</v>
      </c>
      <c r="P24" s="132" t="s">
        <v>37</v>
      </c>
      <c r="Q24" s="132" t="s">
        <v>37</v>
      </c>
      <c r="R24" s="132" t="s">
        <v>37</v>
      </c>
      <c r="S24" s="132" t="s">
        <v>37</v>
      </c>
      <c r="T24" s="132" t="s">
        <v>37</v>
      </c>
      <c r="U24" s="132" t="s">
        <v>37</v>
      </c>
      <c r="V24" s="139"/>
      <c r="W24" s="132" t="s">
        <v>37</v>
      </c>
      <c r="X24" s="132" t="s">
        <v>37</v>
      </c>
      <c r="Y24" s="132" t="s">
        <v>37</v>
      </c>
      <c r="Z24" s="132">
        <v>1</v>
      </c>
      <c r="AA24" s="132">
        <v>1</v>
      </c>
      <c r="AB24" s="132">
        <v>1</v>
      </c>
      <c r="AC24" s="132">
        <v>1</v>
      </c>
      <c r="AD24" s="132">
        <v>1</v>
      </c>
      <c r="AE24" s="132">
        <v>1</v>
      </c>
      <c r="AF24" s="139"/>
      <c r="AG24" s="132">
        <v>1</v>
      </c>
      <c r="AH24" s="132">
        <v>1</v>
      </c>
      <c r="AI24" s="132">
        <v>1</v>
      </c>
      <c r="AJ24" s="132">
        <v>1</v>
      </c>
      <c r="AK24" s="132">
        <v>1</v>
      </c>
      <c r="AL24" s="132">
        <v>1</v>
      </c>
      <c r="AM24" s="132" t="s">
        <v>37</v>
      </c>
      <c r="AN24" s="132" t="s">
        <v>37</v>
      </c>
      <c r="AO24" s="132">
        <v>0.5</v>
      </c>
      <c r="AP24" s="139"/>
      <c r="AQ24" s="132">
        <v>1</v>
      </c>
      <c r="AR24" s="132">
        <v>1</v>
      </c>
      <c r="AS24" s="132">
        <v>1</v>
      </c>
      <c r="AT24" s="132">
        <v>1</v>
      </c>
      <c r="AU24" s="132">
        <v>1</v>
      </c>
      <c r="AV24" s="132">
        <v>1</v>
      </c>
      <c r="AW24" s="132">
        <v>1</v>
      </c>
      <c r="AX24" s="132">
        <v>1</v>
      </c>
      <c r="AY24" s="132">
        <v>1</v>
      </c>
      <c r="AZ24" s="132">
        <v>0</v>
      </c>
      <c r="BA24" s="139"/>
      <c r="BB24" s="132">
        <v>0.75</v>
      </c>
      <c r="BC24" s="132">
        <v>0.75</v>
      </c>
      <c r="BD24" s="132">
        <v>0.75</v>
      </c>
      <c r="BE24" s="132">
        <v>0.75</v>
      </c>
      <c r="BF24" s="132">
        <v>0.75</v>
      </c>
      <c r="BG24" s="132">
        <v>0.75</v>
      </c>
      <c r="BH24" s="132">
        <v>0.75</v>
      </c>
      <c r="BI24" s="132">
        <v>0.75</v>
      </c>
      <c r="BJ24" s="132">
        <v>0.75</v>
      </c>
      <c r="BK24" s="132">
        <v>0.75</v>
      </c>
      <c r="BL24" s="132">
        <v>0.75</v>
      </c>
      <c r="BM24" s="132">
        <v>0.75</v>
      </c>
      <c r="BN24" s="132">
        <v>0.75</v>
      </c>
      <c r="BO24" s="132">
        <v>0.75</v>
      </c>
      <c r="BP24" s="139"/>
      <c r="BQ24" s="132">
        <v>0.75</v>
      </c>
      <c r="BR24" s="132">
        <v>0.75</v>
      </c>
      <c r="BS24" s="132">
        <v>0.75</v>
      </c>
      <c r="BT24" s="132" t="s">
        <v>37</v>
      </c>
      <c r="BU24" s="132" t="s">
        <v>37</v>
      </c>
      <c r="BV24" s="132" t="s">
        <v>37</v>
      </c>
      <c r="BW24" s="132" t="s">
        <v>37</v>
      </c>
      <c r="BX24" s="132" t="s">
        <v>37</v>
      </c>
      <c r="BY24" s="132" t="s">
        <v>37</v>
      </c>
      <c r="BZ24" s="132" t="s">
        <v>37</v>
      </c>
      <c r="CA24" s="139"/>
      <c r="CB24" s="132">
        <v>0.7</v>
      </c>
      <c r="CC24" s="132">
        <v>0.7</v>
      </c>
      <c r="CD24" s="132">
        <v>0.7</v>
      </c>
      <c r="CE24" s="132">
        <v>0.7</v>
      </c>
      <c r="CF24" s="132">
        <v>0.7</v>
      </c>
      <c r="CG24" s="132">
        <v>0.7</v>
      </c>
      <c r="CH24" s="132">
        <v>0.7</v>
      </c>
      <c r="CI24" s="132">
        <v>0</v>
      </c>
      <c r="CJ24" s="132">
        <v>0.7</v>
      </c>
      <c r="CK24" s="139"/>
      <c r="CL24" s="132">
        <v>0.7</v>
      </c>
      <c r="CM24" s="132">
        <v>0.7</v>
      </c>
      <c r="CN24" s="132">
        <v>0.7</v>
      </c>
      <c r="CO24" s="132">
        <v>0</v>
      </c>
      <c r="CP24" s="132">
        <v>0</v>
      </c>
      <c r="CQ24" s="132">
        <v>0.7</v>
      </c>
      <c r="CR24" s="132">
        <v>0.7</v>
      </c>
      <c r="CS24" s="132">
        <v>0.7</v>
      </c>
      <c r="CT24" s="132">
        <v>0.7</v>
      </c>
      <c r="CU24" s="132" t="s">
        <v>37</v>
      </c>
      <c r="CV24" s="132">
        <v>0.7</v>
      </c>
      <c r="CW24" s="132">
        <v>0.7</v>
      </c>
      <c r="CX24" s="132">
        <v>0.7</v>
      </c>
      <c r="CY24" s="139"/>
      <c r="CZ24" s="109">
        <v>0.7</v>
      </c>
      <c r="DA24" s="109" t="s">
        <v>37</v>
      </c>
      <c r="DB24" s="133" t="s">
        <v>37</v>
      </c>
      <c r="DC24" s="109">
        <v>0.7</v>
      </c>
      <c r="DD24" s="132">
        <v>0.7</v>
      </c>
      <c r="DE24" s="132">
        <v>0</v>
      </c>
      <c r="DF24" s="132">
        <v>0.7</v>
      </c>
      <c r="DG24" s="132">
        <v>0.7</v>
      </c>
      <c r="DH24" s="132">
        <v>0</v>
      </c>
      <c r="DI24" s="132">
        <v>0</v>
      </c>
      <c r="DJ24" s="132">
        <v>0</v>
      </c>
      <c r="DK24" s="132">
        <v>0.7</v>
      </c>
      <c r="DL24" s="132">
        <v>0.7</v>
      </c>
      <c r="DM24" s="139"/>
      <c r="DN24" s="132">
        <v>0</v>
      </c>
      <c r="DO24" s="132">
        <v>0</v>
      </c>
      <c r="DP24" s="109" t="s">
        <v>37</v>
      </c>
      <c r="DQ24" s="133" t="s">
        <v>37</v>
      </c>
      <c r="DR24" s="109" t="s">
        <v>37</v>
      </c>
      <c r="DS24" s="133" t="s">
        <v>37</v>
      </c>
      <c r="DT24" s="132">
        <v>0.7</v>
      </c>
      <c r="DU24" s="132">
        <v>0.7</v>
      </c>
      <c r="DV24" s="132">
        <v>0.7</v>
      </c>
      <c r="DW24" s="132">
        <v>0.7</v>
      </c>
      <c r="DX24" s="132">
        <v>0.7</v>
      </c>
      <c r="DY24" s="132">
        <v>0.7</v>
      </c>
      <c r="DZ24" s="132">
        <v>0.7</v>
      </c>
      <c r="EA24" s="132">
        <v>0.7</v>
      </c>
      <c r="EB24" s="5">
        <f t="shared" si="0"/>
        <v>57.350000000000094</v>
      </c>
      <c r="EC24" s="5">
        <v>7</v>
      </c>
      <c r="ED24" s="5">
        <f t="shared" ref="ED24:ED25" si="5">EC24*8</f>
        <v>56</v>
      </c>
      <c r="EE24" s="7">
        <f t="shared" ref="EE24:EE25" si="6">ED24-EB24</f>
        <v>-1.3500000000000938</v>
      </c>
      <c r="EF24" s="40" t="str">
        <f t="shared" ref="EF24:EF30" si="7">IF(EE24&gt;0, "","NO")</f>
        <v>NO</v>
      </c>
      <c r="EG24" s="41" t="str">
        <f t="shared" si="1"/>
        <v xml:space="preserve">مستور يوسف </v>
      </c>
    </row>
    <row r="25" spans="1:137" x14ac:dyDescent="0.25">
      <c r="A25" s="129" t="s">
        <v>110</v>
      </c>
      <c r="B25" s="129"/>
      <c r="C25" s="130">
        <v>19</v>
      </c>
      <c r="D25" s="131">
        <v>45726</v>
      </c>
      <c r="E25" s="132" t="s">
        <v>37</v>
      </c>
      <c r="F25" s="132" t="s">
        <v>37</v>
      </c>
      <c r="G25" s="132" t="s">
        <v>37</v>
      </c>
      <c r="H25" s="132" t="s">
        <v>37</v>
      </c>
      <c r="I25" s="132" t="s">
        <v>37</v>
      </c>
      <c r="J25" s="132" t="s">
        <v>37</v>
      </c>
      <c r="K25" s="132" t="s">
        <v>37</v>
      </c>
      <c r="L25" s="132" t="s">
        <v>37</v>
      </c>
      <c r="M25" s="139"/>
      <c r="N25" s="132" t="s">
        <v>37</v>
      </c>
      <c r="O25" s="132" t="s">
        <v>37</v>
      </c>
      <c r="P25" s="132" t="s">
        <v>37</v>
      </c>
      <c r="Q25" s="132" t="s">
        <v>37</v>
      </c>
      <c r="R25" s="132" t="s">
        <v>37</v>
      </c>
      <c r="S25" s="132" t="s">
        <v>37</v>
      </c>
      <c r="T25" s="132" t="s">
        <v>37</v>
      </c>
      <c r="U25" s="132" t="s">
        <v>37</v>
      </c>
      <c r="V25" s="139"/>
      <c r="W25" s="132" t="s">
        <v>37</v>
      </c>
      <c r="X25" s="132" t="s">
        <v>37</v>
      </c>
      <c r="Y25" s="132" t="s">
        <v>37</v>
      </c>
      <c r="Z25" s="132">
        <v>1</v>
      </c>
      <c r="AA25" s="132">
        <v>1</v>
      </c>
      <c r="AB25" s="132">
        <v>1</v>
      </c>
      <c r="AC25" s="132">
        <v>1</v>
      </c>
      <c r="AD25" s="132">
        <v>1</v>
      </c>
      <c r="AE25" s="132">
        <v>1</v>
      </c>
      <c r="AF25" s="139"/>
      <c r="AG25" s="132">
        <v>1</v>
      </c>
      <c r="AH25" s="132">
        <v>1</v>
      </c>
      <c r="AI25" s="132">
        <v>1</v>
      </c>
      <c r="AJ25" s="132">
        <v>1</v>
      </c>
      <c r="AK25" s="132">
        <v>1</v>
      </c>
      <c r="AL25" s="132">
        <v>1</v>
      </c>
      <c r="AM25" s="132" t="s">
        <v>37</v>
      </c>
      <c r="AN25" s="132" t="s">
        <v>37</v>
      </c>
      <c r="AO25" s="132">
        <v>0.5</v>
      </c>
      <c r="AP25" s="139"/>
      <c r="AQ25" s="132">
        <v>0.5</v>
      </c>
      <c r="AR25" s="132">
        <v>1</v>
      </c>
      <c r="AS25" s="132">
        <v>1</v>
      </c>
      <c r="AT25" s="132">
        <v>0</v>
      </c>
      <c r="AU25" s="132">
        <v>1</v>
      </c>
      <c r="AV25" s="132">
        <v>1</v>
      </c>
      <c r="AW25" s="132">
        <v>1</v>
      </c>
      <c r="AX25" s="132">
        <v>1</v>
      </c>
      <c r="AY25" s="132">
        <v>1</v>
      </c>
      <c r="AZ25" s="132">
        <v>0</v>
      </c>
      <c r="BA25" s="139"/>
      <c r="BB25" s="132">
        <v>0.75</v>
      </c>
      <c r="BC25" s="132">
        <v>0.75</v>
      </c>
      <c r="BD25" s="132">
        <v>0.75</v>
      </c>
      <c r="BE25" s="132">
        <v>0.75</v>
      </c>
      <c r="BF25" s="132">
        <v>0.75</v>
      </c>
      <c r="BG25" s="132">
        <v>0.75</v>
      </c>
      <c r="BH25" s="132">
        <v>0.75</v>
      </c>
      <c r="BI25" s="132">
        <v>0.75</v>
      </c>
      <c r="BJ25" s="132">
        <v>0.75</v>
      </c>
      <c r="BK25" s="132">
        <v>0.75</v>
      </c>
      <c r="BL25" s="132">
        <v>0.75</v>
      </c>
      <c r="BM25" s="132">
        <v>0.75</v>
      </c>
      <c r="BN25" s="132">
        <v>0.75</v>
      </c>
      <c r="BO25" s="132">
        <v>0.75</v>
      </c>
      <c r="BP25" s="139"/>
      <c r="BQ25" s="132">
        <v>0.75</v>
      </c>
      <c r="BR25" s="132">
        <v>0.75</v>
      </c>
      <c r="BS25" s="132">
        <v>0.75</v>
      </c>
      <c r="BT25" s="132" t="s">
        <v>37</v>
      </c>
      <c r="BU25" s="132" t="s">
        <v>37</v>
      </c>
      <c r="BV25" s="132" t="s">
        <v>37</v>
      </c>
      <c r="BW25" s="132" t="s">
        <v>37</v>
      </c>
      <c r="BX25" s="132" t="s">
        <v>37</v>
      </c>
      <c r="BY25" s="132" t="s">
        <v>37</v>
      </c>
      <c r="BZ25" s="132" t="s">
        <v>37</v>
      </c>
      <c r="CA25" s="139"/>
      <c r="CB25" s="132">
        <v>0.7</v>
      </c>
      <c r="CC25" s="132">
        <v>0.7</v>
      </c>
      <c r="CD25" s="132">
        <v>0.7</v>
      </c>
      <c r="CE25" s="132">
        <v>0.7</v>
      </c>
      <c r="CF25" s="132">
        <v>0.7</v>
      </c>
      <c r="CG25" s="132">
        <v>0.7</v>
      </c>
      <c r="CH25" s="132">
        <v>0.7</v>
      </c>
      <c r="CI25" s="132">
        <v>0</v>
      </c>
      <c r="CJ25" s="132">
        <v>0.7</v>
      </c>
      <c r="CK25" s="139"/>
      <c r="CL25" s="132">
        <v>0.7</v>
      </c>
      <c r="CM25" s="132">
        <v>0.7</v>
      </c>
      <c r="CN25" s="132">
        <v>0.7</v>
      </c>
      <c r="CO25" s="132">
        <v>0</v>
      </c>
      <c r="CP25" s="132">
        <v>0</v>
      </c>
      <c r="CQ25" s="132">
        <v>0.7</v>
      </c>
      <c r="CR25" s="132">
        <v>0.7</v>
      </c>
      <c r="CS25" s="132">
        <v>0.7</v>
      </c>
      <c r="CT25" s="132">
        <v>0.7</v>
      </c>
      <c r="CU25" s="132" t="s">
        <v>37</v>
      </c>
      <c r="CV25" s="132">
        <v>0.7</v>
      </c>
      <c r="CW25" s="132">
        <v>0.7</v>
      </c>
      <c r="CX25" s="132">
        <v>0</v>
      </c>
      <c r="CY25" s="139"/>
      <c r="CZ25" s="109">
        <v>0.7</v>
      </c>
      <c r="DA25" s="109" t="s">
        <v>37</v>
      </c>
      <c r="DB25" s="133" t="s">
        <v>37</v>
      </c>
      <c r="DC25" s="109">
        <v>0.7</v>
      </c>
      <c r="DD25" s="132">
        <v>0.7</v>
      </c>
      <c r="DE25" s="132">
        <v>0</v>
      </c>
      <c r="DF25" s="132">
        <v>0.7</v>
      </c>
      <c r="DG25" s="132">
        <v>0.7</v>
      </c>
      <c r="DH25" s="132">
        <v>0</v>
      </c>
      <c r="DI25" s="132">
        <v>0</v>
      </c>
      <c r="DJ25" s="132">
        <v>0</v>
      </c>
      <c r="DK25" s="132">
        <v>0.7</v>
      </c>
      <c r="DL25" s="132">
        <v>0.7</v>
      </c>
      <c r="DM25" s="139"/>
      <c r="DN25" s="132">
        <v>0</v>
      </c>
      <c r="DO25" s="132">
        <v>0</v>
      </c>
      <c r="DP25" s="109" t="s">
        <v>37</v>
      </c>
      <c r="DQ25" s="133" t="s">
        <v>37</v>
      </c>
      <c r="DR25" s="109" t="s">
        <v>37</v>
      </c>
      <c r="DS25" s="133" t="s">
        <v>37</v>
      </c>
      <c r="DT25" s="132">
        <v>0.7</v>
      </c>
      <c r="DU25" s="132">
        <v>0.7</v>
      </c>
      <c r="DV25" s="132">
        <v>0.7</v>
      </c>
      <c r="DW25" s="132">
        <v>0.7</v>
      </c>
      <c r="DX25" s="132">
        <v>0.7</v>
      </c>
      <c r="DY25" s="132">
        <v>0.7</v>
      </c>
      <c r="DZ25" s="132">
        <v>0.7</v>
      </c>
      <c r="EA25" s="132">
        <v>0.7</v>
      </c>
      <c r="EB25" s="5">
        <f t="shared" ref="EB25:EB39" si="8">SUM(E25:EA25)</f>
        <v>55.150000000000091</v>
      </c>
      <c r="EC25" s="5">
        <v>7</v>
      </c>
      <c r="ED25" s="5">
        <f t="shared" si="5"/>
        <v>56</v>
      </c>
      <c r="EE25" s="7">
        <f t="shared" si="6"/>
        <v>0.84999999999990905</v>
      </c>
      <c r="EF25" s="40" t="str">
        <f t="shared" si="7"/>
        <v/>
      </c>
      <c r="EG25" s="41" t="str">
        <f t="shared" ref="EG25:EG39" si="9">IF(EE25&gt;0, "", A25)</f>
        <v/>
      </c>
    </row>
    <row r="26" spans="1:137" x14ac:dyDescent="0.25">
      <c r="A26" s="129" t="s">
        <v>128</v>
      </c>
      <c r="B26" s="129"/>
      <c r="C26" s="130">
        <v>20</v>
      </c>
      <c r="D26" s="131">
        <v>45726</v>
      </c>
      <c r="E26" s="132" t="s">
        <v>37</v>
      </c>
      <c r="F26" s="132" t="s">
        <v>37</v>
      </c>
      <c r="G26" s="132" t="s">
        <v>37</v>
      </c>
      <c r="H26" s="132" t="s">
        <v>37</v>
      </c>
      <c r="I26" s="132" t="s">
        <v>37</v>
      </c>
      <c r="J26" s="132" t="s">
        <v>37</v>
      </c>
      <c r="K26" s="132" t="s">
        <v>37</v>
      </c>
      <c r="L26" s="132" t="s">
        <v>37</v>
      </c>
      <c r="M26" s="139"/>
      <c r="N26" s="132" t="s">
        <v>37</v>
      </c>
      <c r="O26" s="132" t="s">
        <v>37</v>
      </c>
      <c r="P26" s="132" t="s">
        <v>37</v>
      </c>
      <c r="Q26" s="132" t="s">
        <v>37</v>
      </c>
      <c r="R26" s="132" t="s">
        <v>37</v>
      </c>
      <c r="S26" s="132" t="s">
        <v>37</v>
      </c>
      <c r="T26" s="132" t="s">
        <v>37</v>
      </c>
      <c r="U26" s="132" t="s">
        <v>37</v>
      </c>
      <c r="V26" s="139"/>
      <c r="W26" s="132" t="s">
        <v>37</v>
      </c>
      <c r="X26" s="132" t="s">
        <v>37</v>
      </c>
      <c r="Y26" s="132" t="s">
        <v>37</v>
      </c>
      <c r="Z26" s="132" t="s">
        <v>37</v>
      </c>
      <c r="AA26" s="132" t="s">
        <v>37</v>
      </c>
      <c r="AB26" s="132" t="s">
        <v>37</v>
      </c>
      <c r="AC26" s="132" t="s">
        <v>37</v>
      </c>
      <c r="AD26" s="132">
        <v>1</v>
      </c>
      <c r="AE26" s="132">
        <v>1</v>
      </c>
      <c r="AF26" s="139"/>
      <c r="AG26" s="132">
        <v>1</v>
      </c>
      <c r="AH26" s="132">
        <v>1</v>
      </c>
      <c r="AI26" s="132">
        <v>1</v>
      </c>
      <c r="AJ26" s="132">
        <v>1</v>
      </c>
      <c r="AK26" s="132">
        <v>1</v>
      </c>
      <c r="AL26" s="132">
        <v>1</v>
      </c>
      <c r="AM26" s="132" t="s">
        <v>37</v>
      </c>
      <c r="AN26" s="132" t="s">
        <v>37</v>
      </c>
      <c r="AO26" s="132">
        <v>1</v>
      </c>
      <c r="AP26" s="139"/>
      <c r="AQ26" s="132">
        <v>1</v>
      </c>
      <c r="AR26" s="132">
        <v>0.5</v>
      </c>
      <c r="AS26" s="132">
        <v>0</v>
      </c>
      <c r="AT26" s="132">
        <v>1</v>
      </c>
      <c r="AU26" s="132">
        <v>0</v>
      </c>
      <c r="AV26" s="132">
        <v>0</v>
      </c>
      <c r="AW26" s="132">
        <v>0</v>
      </c>
      <c r="AX26" s="132">
        <v>0</v>
      </c>
      <c r="AY26" s="132">
        <v>1</v>
      </c>
      <c r="AZ26" s="132">
        <v>0</v>
      </c>
      <c r="BA26" s="139"/>
      <c r="BB26" s="132">
        <v>0.75</v>
      </c>
      <c r="BC26" s="132">
        <v>0.75</v>
      </c>
      <c r="BD26" s="132">
        <v>0.75</v>
      </c>
      <c r="BE26" s="132">
        <v>0.75</v>
      </c>
      <c r="BF26" s="132">
        <v>0.75</v>
      </c>
      <c r="BG26" s="132">
        <v>0</v>
      </c>
      <c r="BH26" s="132">
        <v>0</v>
      </c>
      <c r="BI26" s="132">
        <v>0</v>
      </c>
      <c r="BJ26" s="132">
        <v>0</v>
      </c>
      <c r="BK26" s="132">
        <v>0.75</v>
      </c>
      <c r="BL26" s="132">
        <v>0</v>
      </c>
      <c r="BM26" s="132">
        <v>0.75</v>
      </c>
      <c r="BN26" s="132">
        <v>0</v>
      </c>
      <c r="BO26" s="132">
        <v>0.75</v>
      </c>
      <c r="BP26" s="139"/>
      <c r="BQ26" s="132">
        <v>0.75</v>
      </c>
      <c r="BR26" s="132">
        <v>0</v>
      </c>
      <c r="BS26" s="132">
        <v>0.75</v>
      </c>
      <c r="BT26" s="132" t="s">
        <v>37</v>
      </c>
      <c r="BU26" s="132" t="s">
        <v>37</v>
      </c>
      <c r="BV26" s="132" t="s">
        <v>37</v>
      </c>
      <c r="BW26" s="132" t="s">
        <v>37</v>
      </c>
      <c r="BX26" s="132" t="s">
        <v>37</v>
      </c>
      <c r="BY26" s="132" t="s">
        <v>37</v>
      </c>
      <c r="BZ26" s="132" t="s">
        <v>37</v>
      </c>
      <c r="CA26" s="139"/>
      <c r="CB26" s="132">
        <v>0</v>
      </c>
      <c r="CC26" s="132">
        <v>0</v>
      </c>
      <c r="CD26" s="132">
        <v>0</v>
      </c>
      <c r="CE26" s="132">
        <v>0</v>
      </c>
      <c r="CF26" s="132">
        <v>0</v>
      </c>
      <c r="CG26" s="132">
        <v>0</v>
      </c>
      <c r="CH26" s="132">
        <v>0</v>
      </c>
      <c r="CI26" s="132">
        <v>0</v>
      </c>
      <c r="CJ26" s="132">
        <v>0</v>
      </c>
      <c r="CK26" s="139"/>
      <c r="CL26" s="132">
        <v>0</v>
      </c>
      <c r="CM26" s="132">
        <v>0</v>
      </c>
      <c r="CN26" s="132">
        <v>0</v>
      </c>
      <c r="CO26" s="132">
        <v>0</v>
      </c>
      <c r="CP26" s="132">
        <v>0</v>
      </c>
      <c r="CQ26" s="132">
        <v>0</v>
      </c>
      <c r="CR26" s="132">
        <v>0</v>
      </c>
      <c r="CS26" s="132">
        <v>0</v>
      </c>
      <c r="CT26" s="132">
        <v>0.7</v>
      </c>
      <c r="CU26" s="132" t="s">
        <v>37</v>
      </c>
      <c r="CV26" s="132">
        <v>0</v>
      </c>
      <c r="CW26" s="132">
        <v>0</v>
      </c>
      <c r="CX26" s="132">
        <v>0</v>
      </c>
      <c r="CY26" s="139"/>
      <c r="CZ26" s="109">
        <v>0</v>
      </c>
      <c r="DA26" s="109" t="s">
        <v>37</v>
      </c>
      <c r="DB26" s="133" t="s">
        <v>37</v>
      </c>
      <c r="DC26" s="109">
        <v>0.7</v>
      </c>
      <c r="DD26" s="132">
        <v>0</v>
      </c>
      <c r="DE26" s="132">
        <v>0</v>
      </c>
      <c r="DF26" s="132">
        <v>0.7</v>
      </c>
      <c r="DG26" s="132">
        <v>0.7</v>
      </c>
      <c r="DH26" s="132">
        <v>0</v>
      </c>
      <c r="DI26" s="132">
        <v>0</v>
      </c>
      <c r="DJ26" s="132">
        <v>0</v>
      </c>
      <c r="DK26" s="132">
        <v>0.7</v>
      </c>
      <c r="DL26" s="149">
        <v>0.7</v>
      </c>
      <c r="DM26" s="139"/>
      <c r="DN26" s="132">
        <v>0</v>
      </c>
      <c r="DO26" s="132">
        <v>0.7</v>
      </c>
      <c r="DP26" s="109" t="s">
        <v>37</v>
      </c>
      <c r="DQ26" s="133" t="s">
        <v>37</v>
      </c>
      <c r="DR26" s="109" t="s">
        <v>37</v>
      </c>
      <c r="DS26" s="133" t="s">
        <v>37</v>
      </c>
      <c r="DT26" s="132">
        <v>0</v>
      </c>
      <c r="DU26" s="132">
        <v>0.7</v>
      </c>
      <c r="DV26" s="132">
        <v>0</v>
      </c>
      <c r="DW26" s="132">
        <v>0.7</v>
      </c>
      <c r="DX26" s="132">
        <v>0</v>
      </c>
      <c r="DY26" s="132">
        <v>0</v>
      </c>
      <c r="DZ26" s="132">
        <v>0</v>
      </c>
      <c r="EA26" s="132">
        <v>0</v>
      </c>
      <c r="EB26" s="5">
        <f t="shared" si="8"/>
        <v>26.299999999999994</v>
      </c>
      <c r="EC26" s="5">
        <v>4</v>
      </c>
      <c r="ED26" s="5">
        <f t="shared" ref="ED26:ED27" si="10">EC26*8</f>
        <v>32</v>
      </c>
      <c r="EE26" s="7">
        <f t="shared" ref="EE26:EE27" si="11">ED26-EB26</f>
        <v>5.7000000000000064</v>
      </c>
      <c r="EF26" s="40" t="str">
        <f t="shared" si="7"/>
        <v/>
      </c>
      <c r="EG26" s="41" t="str">
        <f t="shared" si="9"/>
        <v/>
      </c>
    </row>
    <row r="27" spans="1:137" x14ac:dyDescent="0.25">
      <c r="A27" s="129" t="s">
        <v>129</v>
      </c>
      <c r="B27" s="129"/>
      <c r="C27" s="130">
        <v>21</v>
      </c>
      <c r="D27" s="131">
        <v>45726</v>
      </c>
      <c r="E27" s="132" t="s">
        <v>37</v>
      </c>
      <c r="F27" s="132" t="s">
        <v>37</v>
      </c>
      <c r="G27" s="132" t="s">
        <v>37</v>
      </c>
      <c r="H27" s="132" t="s">
        <v>37</v>
      </c>
      <c r="I27" s="132" t="s">
        <v>37</v>
      </c>
      <c r="J27" s="132" t="s">
        <v>37</v>
      </c>
      <c r="K27" s="132" t="s">
        <v>37</v>
      </c>
      <c r="L27" s="132" t="s">
        <v>37</v>
      </c>
      <c r="M27" s="139"/>
      <c r="N27" s="132" t="s">
        <v>37</v>
      </c>
      <c r="O27" s="132" t="s">
        <v>37</v>
      </c>
      <c r="P27" s="132" t="s">
        <v>37</v>
      </c>
      <c r="Q27" s="132" t="s">
        <v>37</v>
      </c>
      <c r="R27" s="132" t="s">
        <v>37</v>
      </c>
      <c r="S27" s="132" t="s">
        <v>37</v>
      </c>
      <c r="T27" s="132" t="s">
        <v>37</v>
      </c>
      <c r="U27" s="132" t="s">
        <v>37</v>
      </c>
      <c r="V27" s="139"/>
      <c r="W27" s="132" t="s">
        <v>37</v>
      </c>
      <c r="X27" s="132" t="s">
        <v>37</v>
      </c>
      <c r="Y27" s="132" t="s">
        <v>37</v>
      </c>
      <c r="Z27" s="132" t="s">
        <v>37</v>
      </c>
      <c r="AA27" s="132" t="s">
        <v>37</v>
      </c>
      <c r="AB27" s="132" t="s">
        <v>37</v>
      </c>
      <c r="AC27" s="132" t="s">
        <v>37</v>
      </c>
      <c r="AD27" s="132">
        <v>1</v>
      </c>
      <c r="AE27" s="132">
        <v>1</v>
      </c>
      <c r="AF27" s="139"/>
      <c r="AG27" s="132">
        <v>1</v>
      </c>
      <c r="AH27" s="132">
        <v>1</v>
      </c>
      <c r="AI27" s="132">
        <v>1</v>
      </c>
      <c r="AJ27" s="132">
        <v>1</v>
      </c>
      <c r="AK27" s="132">
        <v>1</v>
      </c>
      <c r="AL27" s="132">
        <v>1</v>
      </c>
      <c r="AM27" s="132" t="s">
        <v>37</v>
      </c>
      <c r="AN27" s="132" t="s">
        <v>37</v>
      </c>
      <c r="AO27" s="132">
        <v>1</v>
      </c>
      <c r="AP27" s="139"/>
      <c r="AQ27" s="132">
        <v>1</v>
      </c>
      <c r="AR27" s="132">
        <v>0.5</v>
      </c>
      <c r="AS27" s="132">
        <v>0</v>
      </c>
      <c r="AT27" s="132">
        <v>0</v>
      </c>
      <c r="AU27" s="132">
        <v>0</v>
      </c>
      <c r="AV27" s="132">
        <v>0</v>
      </c>
      <c r="AW27" s="132">
        <v>0</v>
      </c>
      <c r="AX27" s="132">
        <v>0</v>
      </c>
      <c r="AY27" s="132">
        <v>0</v>
      </c>
      <c r="AZ27" s="132">
        <v>0</v>
      </c>
      <c r="BA27" s="139"/>
      <c r="BB27" s="132">
        <v>0</v>
      </c>
      <c r="BC27" s="132">
        <v>0</v>
      </c>
      <c r="BD27" s="132">
        <v>0</v>
      </c>
      <c r="BE27" s="132">
        <v>0</v>
      </c>
      <c r="BF27" s="132">
        <v>0</v>
      </c>
      <c r="BG27" s="132">
        <v>0</v>
      </c>
      <c r="BH27" s="132">
        <v>0</v>
      </c>
      <c r="BI27" s="132">
        <v>0</v>
      </c>
      <c r="BJ27" s="132">
        <v>0</v>
      </c>
      <c r="BK27" s="132">
        <v>0</v>
      </c>
      <c r="BL27" s="132">
        <v>0</v>
      </c>
      <c r="BM27" s="132">
        <v>0</v>
      </c>
      <c r="BN27" s="132">
        <v>0</v>
      </c>
      <c r="BO27" s="132">
        <v>0</v>
      </c>
      <c r="BP27" s="139"/>
      <c r="BQ27" s="132">
        <v>0</v>
      </c>
      <c r="BR27" s="132">
        <v>0</v>
      </c>
      <c r="BS27" s="132">
        <v>0</v>
      </c>
      <c r="BT27" s="132" t="s">
        <v>37</v>
      </c>
      <c r="BU27" s="132" t="s">
        <v>37</v>
      </c>
      <c r="BV27" s="132" t="s">
        <v>37</v>
      </c>
      <c r="BW27" s="132" t="s">
        <v>37</v>
      </c>
      <c r="BX27" s="132" t="s">
        <v>37</v>
      </c>
      <c r="BY27" s="132" t="s">
        <v>37</v>
      </c>
      <c r="BZ27" s="132" t="s">
        <v>37</v>
      </c>
      <c r="CA27" s="139"/>
      <c r="CB27" s="132">
        <v>0</v>
      </c>
      <c r="CC27" s="132">
        <v>0</v>
      </c>
      <c r="CD27" s="132">
        <v>0</v>
      </c>
      <c r="CE27" s="132">
        <v>0</v>
      </c>
      <c r="CF27" s="132">
        <v>0</v>
      </c>
      <c r="CG27" s="132">
        <v>0</v>
      </c>
      <c r="CH27" s="132">
        <v>0</v>
      </c>
      <c r="CI27" s="132">
        <v>0</v>
      </c>
      <c r="CJ27" s="132">
        <v>0</v>
      </c>
      <c r="CK27" s="139"/>
      <c r="CL27" s="132">
        <v>0</v>
      </c>
      <c r="CM27" s="132">
        <v>0</v>
      </c>
      <c r="CN27" s="132">
        <v>0</v>
      </c>
      <c r="CO27" s="132">
        <v>0</v>
      </c>
      <c r="CP27" s="132">
        <v>0.7</v>
      </c>
      <c r="CQ27" s="132">
        <v>0.7</v>
      </c>
      <c r="CR27" s="132">
        <v>0</v>
      </c>
      <c r="CS27" s="132">
        <v>0.7</v>
      </c>
      <c r="CT27" s="132">
        <v>0</v>
      </c>
      <c r="CU27" s="132" t="s">
        <v>37</v>
      </c>
      <c r="CV27" s="132">
        <v>0</v>
      </c>
      <c r="CW27" s="132">
        <v>0</v>
      </c>
      <c r="CX27" s="132">
        <v>0</v>
      </c>
      <c r="CY27" s="139"/>
      <c r="CZ27" s="109">
        <v>0.7</v>
      </c>
      <c r="DA27" s="109" t="s">
        <v>37</v>
      </c>
      <c r="DB27" s="133" t="s">
        <v>37</v>
      </c>
      <c r="DC27" s="109">
        <v>0</v>
      </c>
      <c r="DD27" s="132">
        <v>0.7</v>
      </c>
      <c r="DE27" s="132">
        <v>0.7</v>
      </c>
      <c r="DF27" s="132">
        <v>0</v>
      </c>
      <c r="DG27" s="132">
        <v>0.7</v>
      </c>
      <c r="DH27" s="132">
        <v>0.7</v>
      </c>
      <c r="DI27" s="132">
        <v>0</v>
      </c>
      <c r="DJ27" s="132">
        <v>0</v>
      </c>
      <c r="DK27" s="132">
        <v>0</v>
      </c>
      <c r="DL27" s="149"/>
      <c r="DM27" s="139"/>
      <c r="DN27" s="132">
        <v>0</v>
      </c>
      <c r="DO27" s="132">
        <v>0</v>
      </c>
      <c r="DP27" s="109" t="s">
        <v>37</v>
      </c>
      <c r="DQ27" s="133" t="s">
        <v>37</v>
      </c>
      <c r="DR27" s="109" t="s">
        <v>37</v>
      </c>
      <c r="DS27" s="133" t="s">
        <v>37</v>
      </c>
      <c r="DT27" s="132">
        <v>0</v>
      </c>
      <c r="DU27" s="132">
        <v>0</v>
      </c>
      <c r="DV27" s="132">
        <v>0</v>
      </c>
      <c r="DW27" s="132">
        <v>0</v>
      </c>
      <c r="DX27" s="132">
        <v>0</v>
      </c>
      <c r="DY27" s="132">
        <v>0</v>
      </c>
      <c r="DZ27" s="132">
        <v>0</v>
      </c>
      <c r="EA27" s="132">
        <v>0</v>
      </c>
      <c r="EB27" s="5">
        <f t="shared" si="8"/>
        <v>16.099999999999994</v>
      </c>
      <c r="EC27" s="5">
        <v>2</v>
      </c>
      <c r="ED27" s="5">
        <f t="shared" si="10"/>
        <v>16</v>
      </c>
      <c r="EE27" s="7">
        <f t="shared" si="11"/>
        <v>-9.9999999999994316E-2</v>
      </c>
      <c r="EF27" s="40" t="str">
        <f t="shared" si="7"/>
        <v>NO</v>
      </c>
      <c r="EG27" s="41" t="str">
        <f t="shared" si="9"/>
        <v>بوديار محمد قيس</v>
      </c>
    </row>
    <row r="28" spans="1:137" x14ac:dyDescent="0.25">
      <c r="A28" s="129" t="s">
        <v>126</v>
      </c>
      <c r="B28" s="129"/>
      <c r="C28" s="130">
        <v>22</v>
      </c>
      <c r="D28" s="131">
        <v>45783</v>
      </c>
      <c r="E28" s="132" t="s">
        <v>37</v>
      </c>
      <c r="F28" s="132" t="s">
        <v>37</v>
      </c>
      <c r="G28" s="132" t="s">
        <v>37</v>
      </c>
      <c r="H28" s="132" t="s">
        <v>37</v>
      </c>
      <c r="I28" s="132" t="s">
        <v>37</v>
      </c>
      <c r="J28" s="132" t="s">
        <v>37</v>
      </c>
      <c r="K28" s="132" t="s">
        <v>37</v>
      </c>
      <c r="L28" s="132" t="s">
        <v>37</v>
      </c>
      <c r="M28" s="139"/>
      <c r="N28" s="132" t="s">
        <v>37</v>
      </c>
      <c r="O28" s="132" t="s">
        <v>37</v>
      </c>
      <c r="P28" s="132" t="s">
        <v>37</v>
      </c>
      <c r="Q28" s="132" t="s">
        <v>37</v>
      </c>
      <c r="R28" s="132" t="s">
        <v>37</v>
      </c>
      <c r="S28" s="132" t="s">
        <v>37</v>
      </c>
      <c r="T28" s="132" t="s">
        <v>37</v>
      </c>
      <c r="U28" s="132" t="s">
        <v>37</v>
      </c>
      <c r="V28" s="139"/>
      <c r="W28" s="132" t="s">
        <v>37</v>
      </c>
      <c r="X28" s="132" t="s">
        <v>37</v>
      </c>
      <c r="Y28" s="132" t="s">
        <v>37</v>
      </c>
      <c r="Z28" s="132" t="s">
        <v>37</v>
      </c>
      <c r="AA28" s="132" t="s">
        <v>37</v>
      </c>
      <c r="AB28" s="132" t="s">
        <v>37</v>
      </c>
      <c r="AC28" s="132" t="s">
        <v>37</v>
      </c>
      <c r="AD28" s="132" t="s">
        <v>37</v>
      </c>
      <c r="AE28" s="132" t="s">
        <v>37</v>
      </c>
      <c r="AF28" s="139"/>
      <c r="AG28" s="132" t="s">
        <v>37</v>
      </c>
      <c r="AH28" s="132">
        <v>1</v>
      </c>
      <c r="AI28" s="132">
        <v>1</v>
      </c>
      <c r="AJ28" s="132">
        <v>1</v>
      </c>
      <c r="AK28" s="132">
        <v>1</v>
      </c>
      <c r="AL28" s="132">
        <v>1</v>
      </c>
      <c r="AM28" s="132" t="s">
        <v>37</v>
      </c>
      <c r="AN28" s="132" t="s">
        <v>37</v>
      </c>
      <c r="AO28" s="132">
        <v>1</v>
      </c>
      <c r="AP28" s="139"/>
      <c r="AQ28" s="132">
        <v>1</v>
      </c>
      <c r="AR28" s="132">
        <v>1</v>
      </c>
      <c r="AS28" s="132">
        <v>1</v>
      </c>
      <c r="AT28" s="132">
        <v>0</v>
      </c>
      <c r="AU28" s="132">
        <v>0</v>
      </c>
      <c r="AV28" s="132">
        <v>1</v>
      </c>
      <c r="AW28" s="132">
        <v>1</v>
      </c>
      <c r="AX28" s="132">
        <v>1</v>
      </c>
      <c r="AY28" s="132">
        <v>1</v>
      </c>
      <c r="AZ28" s="132">
        <v>0</v>
      </c>
      <c r="BA28" s="139"/>
      <c r="BB28" s="132">
        <v>0.75</v>
      </c>
      <c r="BC28" s="132">
        <v>0.75</v>
      </c>
      <c r="BD28" s="132">
        <v>0.75</v>
      </c>
      <c r="BE28" s="132">
        <v>0.75</v>
      </c>
      <c r="BF28" s="132">
        <v>0.75</v>
      </c>
      <c r="BG28" s="132">
        <v>0.75</v>
      </c>
      <c r="BH28" s="132">
        <v>0.75</v>
      </c>
      <c r="BI28" s="132">
        <v>0.75</v>
      </c>
      <c r="BJ28" s="132">
        <v>0</v>
      </c>
      <c r="BK28" s="132">
        <v>0.75</v>
      </c>
      <c r="BL28" s="132">
        <v>0.75</v>
      </c>
      <c r="BM28" s="132">
        <v>0</v>
      </c>
      <c r="BN28" s="132">
        <v>0.75</v>
      </c>
      <c r="BO28" s="132">
        <v>0.75</v>
      </c>
      <c r="BP28" s="139"/>
      <c r="BQ28" s="132">
        <v>0.75</v>
      </c>
      <c r="BR28" s="132">
        <v>0.75</v>
      </c>
      <c r="BS28" s="132">
        <v>0</v>
      </c>
      <c r="BT28" s="132" t="s">
        <v>37</v>
      </c>
      <c r="BU28" s="132" t="s">
        <v>37</v>
      </c>
      <c r="BV28" s="132" t="s">
        <v>37</v>
      </c>
      <c r="BW28" s="132" t="s">
        <v>37</v>
      </c>
      <c r="BX28" s="132" t="s">
        <v>37</v>
      </c>
      <c r="BY28" s="132" t="s">
        <v>37</v>
      </c>
      <c r="BZ28" s="132" t="s">
        <v>37</v>
      </c>
      <c r="CA28" s="139"/>
      <c r="CB28" s="132">
        <v>0.7</v>
      </c>
      <c r="CC28" s="132">
        <v>0</v>
      </c>
      <c r="CD28" s="132">
        <v>0.7</v>
      </c>
      <c r="CE28" s="132">
        <v>0</v>
      </c>
      <c r="CF28" s="132">
        <v>0</v>
      </c>
      <c r="CG28" s="132">
        <v>0</v>
      </c>
      <c r="CH28" s="132">
        <v>0</v>
      </c>
      <c r="CI28" s="132">
        <v>0.7</v>
      </c>
      <c r="CJ28" s="132">
        <v>0.7</v>
      </c>
      <c r="CK28" s="139"/>
      <c r="CL28" s="132">
        <v>0.7</v>
      </c>
      <c r="CM28" s="132">
        <v>0</v>
      </c>
      <c r="CN28" s="132">
        <v>0.7</v>
      </c>
      <c r="CO28" s="132">
        <v>0.7</v>
      </c>
      <c r="CP28" s="132">
        <v>0</v>
      </c>
      <c r="CQ28" s="132">
        <v>0.7</v>
      </c>
      <c r="CR28" s="132">
        <v>0</v>
      </c>
      <c r="CS28" s="132">
        <v>0.7</v>
      </c>
      <c r="CT28" s="132">
        <v>0.7</v>
      </c>
      <c r="CU28" s="132" t="s">
        <v>37</v>
      </c>
      <c r="CV28" s="132">
        <v>0.7</v>
      </c>
      <c r="CW28" s="132">
        <v>0</v>
      </c>
      <c r="CX28" s="132">
        <v>0</v>
      </c>
      <c r="CY28" s="139"/>
      <c r="CZ28" s="109">
        <v>0</v>
      </c>
      <c r="DA28" s="109" t="s">
        <v>37</v>
      </c>
      <c r="DB28" s="133" t="s">
        <v>37</v>
      </c>
      <c r="DC28" s="109">
        <v>0</v>
      </c>
      <c r="DD28" s="132">
        <v>0</v>
      </c>
      <c r="DE28" s="132">
        <v>0</v>
      </c>
      <c r="DF28" s="132">
        <v>0</v>
      </c>
      <c r="DG28" s="132">
        <v>0</v>
      </c>
      <c r="DH28" s="132">
        <v>0</v>
      </c>
      <c r="DI28" s="132">
        <v>0</v>
      </c>
      <c r="DJ28" s="132">
        <v>0</v>
      </c>
      <c r="DK28" s="132">
        <v>0</v>
      </c>
      <c r="DL28" s="149"/>
      <c r="DM28" s="139"/>
      <c r="DN28" s="132">
        <v>0</v>
      </c>
      <c r="DO28" s="132">
        <v>0</v>
      </c>
      <c r="DP28" s="109" t="s">
        <v>37</v>
      </c>
      <c r="DQ28" s="133" t="s">
        <v>37</v>
      </c>
      <c r="DR28" s="109" t="s">
        <v>37</v>
      </c>
      <c r="DS28" s="133" t="s">
        <v>37</v>
      </c>
      <c r="DT28" s="132">
        <v>0</v>
      </c>
      <c r="DU28" s="132">
        <v>0</v>
      </c>
      <c r="DV28" s="132">
        <v>0</v>
      </c>
      <c r="DW28" s="132">
        <v>0</v>
      </c>
      <c r="DX28" s="132">
        <v>0</v>
      </c>
      <c r="DY28" s="132">
        <v>0</v>
      </c>
      <c r="DZ28" s="132">
        <v>0</v>
      </c>
      <c r="EA28" s="132">
        <v>0</v>
      </c>
      <c r="EB28" s="5">
        <f t="shared" si="8"/>
        <v>31.199999999999992</v>
      </c>
      <c r="EC28" s="5">
        <v>4</v>
      </c>
      <c r="ED28" s="5">
        <f t="shared" ref="ED28:ED29" si="12">EC28*8</f>
        <v>32</v>
      </c>
      <c r="EE28" s="7">
        <f t="shared" ref="EE28:EE29" si="13">ED28-EB28</f>
        <v>0.80000000000000782</v>
      </c>
      <c r="EF28" s="40" t="str">
        <f t="shared" si="7"/>
        <v/>
      </c>
      <c r="EG28" s="41" t="str">
        <f t="shared" si="9"/>
        <v/>
      </c>
    </row>
    <row r="29" spans="1:137" x14ac:dyDescent="0.25">
      <c r="A29" s="129" t="s">
        <v>127</v>
      </c>
      <c r="B29" s="129"/>
      <c r="C29" s="130">
        <v>23</v>
      </c>
      <c r="D29" s="131">
        <v>45783</v>
      </c>
      <c r="E29" s="132" t="s">
        <v>37</v>
      </c>
      <c r="F29" s="132" t="s">
        <v>37</v>
      </c>
      <c r="G29" s="132" t="s">
        <v>37</v>
      </c>
      <c r="H29" s="132" t="s">
        <v>37</v>
      </c>
      <c r="I29" s="132" t="s">
        <v>37</v>
      </c>
      <c r="J29" s="132" t="s">
        <v>37</v>
      </c>
      <c r="K29" s="132" t="s">
        <v>37</v>
      </c>
      <c r="L29" s="132" t="s">
        <v>37</v>
      </c>
      <c r="M29" s="139"/>
      <c r="N29" s="132" t="s">
        <v>37</v>
      </c>
      <c r="O29" s="132" t="s">
        <v>37</v>
      </c>
      <c r="P29" s="132" t="s">
        <v>37</v>
      </c>
      <c r="Q29" s="132" t="s">
        <v>37</v>
      </c>
      <c r="R29" s="132" t="s">
        <v>37</v>
      </c>
      <c r="S29" s="132" t="s">
        <v>37</v>
      </c>
      <c r="T29" s="132" t="s">
        <v>37</v>
      </c>
      <c r="U29" s="132" t="s">
        <v>37</v>
      </c>
      <c r="V29" s="139"/>
      <c r="W29" s="132" t="s">
        <v>37</v>
      </c>
      <c r="X29" s="132" t="s">
        <v>37</v>
      </c>
      <c r="Y29" s="132" t="s">
        <v>37</v>
      </c>
      <c r="Z29" s="132" t="s">
        <v>37</v>
      </c>
      <c r="AA29" s="132" t="s">
        <v>37</v>
      </c>
      <c r="AB29" s="132" t="s">
        <v>37</v>
      </c>
      <c r="AC29" s="132" t="s">
        <v>37</v>
      </c>
      <c r="AD29" s="132" t="s">
        <v>37</v>
      </c>
      <c r="AE29" s="132" t="s">
        <v>37</v>
      </c>
      <c r="AF29" s="139"/>
      <c r="AG29" s="132" t="s">
        <v>37</v>
      </c>
      <c r="AH29" s="132">
        <v>1</v>
      </c>
      <c r="AI29" s="132">
        <v>1</v>
      </c>
      <c r="AJ29" s="132">
        <v>1</v>
      </c>
      <c r="AK29" s="132">
        <v>1</v>
      </c>
      <c r="AL29" s="132">
        <v>1</v>
      </c>
      <c r="AM29" s="132" t="s">
        <v>37</v>
      </c>
      <c r="AN29" s="132" t="s">
        <v>37</v>
      </c>
      <c r="AO29" s="132">
        <v>1</v>
      </c>
      <c r="AP29" s="139"/>
      <c r="AQ29" s="132">
        <v>1</v>
      </c>
      <c r="AR29" s="132">
        <v>1</v>
      </c>
      <c r="AS29" s="132">
        <v>0</v>
      </c>
      <c r="AT29" s="132">
        <v>0</v>
      </c>
      <c r="AU29" s="132">
        <v>0</v>
      </c>
      <c r="AV29" s="132">
        <v>1</v>
      </c>
      <c r="AW29" s="132">
        <v>1</v>
      </c>
      <c r="AX29" s="132">
        <v>1</v>
      </c>
      <c r="AY29" s="132">
        <v>1</v>
      </c>
      <c r="AZ29" s="132">
        <v>0</v>
      </c>
      <c r="BA29" s="139"/>
      <c r="BB29" s="132">
        <v>0</v>
      </c>
      <c r="BC29" s="132">
        <v>0.75</v>
      </c>
      <c r="BD29" s="132">
        <v>0.75</v>
      </c>
      <c r="BE29" s="132">
        <v>0.75</v>
      </c>
      <c r="BF29" s="132">
        <v>0.75</v>
      </c>
      <c r="BG29" s="132">
        <v>0.75</v>
      </c>
      <c r="BH29" s="132">
        <v>0.75</v>
      </c>
      <c r="BI29" s="132">
        <v>0.75</v>
      </c>
      <c r="BJ29" s="132">
        <v>0</v>
      </c>
      <c r="BK29" s="132">
        <v>0.75</v>
      </c>
      <c r="BL29" s="132">
        <v>0</v>
      </c>
      <c r="BM29" s="132">
        <v>0</v>
      </c>
      <c r="BN29" s="132">
        <v>0</v>
      </c>
      <c r="BO29" s="132">
        <v>0.75</v>
      </c>
      <c r="BP29" s="139"/>
      <c r="BQ29" s="132">
        <v>0.75</v>
      </c>
      <c r="BR29" s="132">
        <v>0.75</v>
      </c>
      <c r="BS29" s="132">
        <v>0</v>
      </c>
      <c r="BT29" s="132" t="s">
        <v>37</v>
      </c>
      <c r="BU29" s="132" t="s">
        <v>37</v>
      </c>
      <c r="BV29" s="132" t="s">
        <v>37</v>
      </c>
      <c r="BW29" s="132" t="s">
        <v>37</v>
      </c>
      <c r="BX29" s="132" t="s">
        <v>37</v>
      </c>
      <c r="BY29" s="132" t="s">
        <v>37</v>
      </c>
      <c r="BZ29" s="132" t="s">
        <v>37</v>
      </c>
      <c r="CA29" s="139"/>
      <c r="CB29" s="132">
        <v>0.7</v>
      </c>
      <c r="CC29" s="132">
        <v>0</v>
      </c>
      <c r="CD29" s="132">
        <v>0.7</v>
      </c>
      <c r="CE29" s="132">
        <v>0</v>
      </c>
      <c r="CF29" s="132">
        <v>0</v>
      </c>
      <c r="CG29" s="132">
        <v>0</v>
      </c>
      <c r="CH29" s="132">
        <v>0</v>
      </c>
      <c r="CI29" s="132">
        <v>0</v>
      </c>
      <c r="CJ29" s="132">
        <v>0.7</v>
      </c>
      <c r="CK29" s="139"/>
      <c r="CL29" s="132">
        <v>0.7</v>
      </c>
      <c r="CM29" s="132">
        <v>0</v>
      </c>
      <c r="CN29" s="132">
        <v>0.7</v>
      </c>
      <c r="CO29" s="132">
        <v>0.7</v>
      </c>
      <c r="CP29" s="132">
        <v>0</v>
      </c>
      <c r="CQ29" s="132">
        <v>0.7</v>
      </c>
      <c r="CR29" s="132">
        <v>0</v>
      </c>
      <c r="CS29" s="132">
        <v>0.7</v>
      </c>
      <c r="CT29" s="132">
        <v>0</v>
      </c>
      <c r="CU29" s="132" t="s">
        <v>37</v>
      </c>
      <c r="CV29" s="132">
        <v>0.7</v>
      </c>
      <c r="CW29" s="132">
        <v>0</v>
      </c>
      <c r="CX29" s="132">
        <v>0</v>
      </c>
      <c r="CY29" s="139"/>
      <c r="CZ29" s="109">
        <v>0</v>
      </c>
      <c r="DA29" s="109" t="s">
        <v>37</v>
      </c>
      <c r="DB29" s="133" t="s">
        <v>37</v>
      </c>
      <c r="DC29" s="109">
        <v>0</v>
      </c>
      <c r="DD29" s="132">
        <v>0</v>
      </c>
      <c r="DE29" s="132">
        <v>0</v>
      </c>
      <c r="DF29" s="132">
        <v>0</v>
      </c>
      <c r="DG29" s="132">
        <v>0</v>
      </c>
      <c r="DH29" s="132">
        <v>0</v>
      </c>
      <c r="DI29" s="132">
        <v>0</v>
      </c>
      <c r="DJ29" s="132">
        <v>0</v>
      </c>
      <c r="DK29" s="132">
        <v>0</v>
      </c>
      <c r="DL29" s="149"/>
      <c r="DM29" s="139"/>
      <c r="DN29" s="132">
        <v>0</v>
      </c>
      <c r="DO29" s="132">
        <v>0</v>
      </c>
      <c r="DP29" s="109" t="s">
        <v>37</v>
      </c>
      <c r="DQ29" s="133" t="s">
        <v>37</v>
      </c>
      <c r="DR29" s="109" t="s">
        <v>37</v>
      </c>
      <c r="DS29" s="133" t="s">
        <v>37</v>
      </c>
      <c r="DT29" s="132">
        <v>0</v>
      </c>
      <c r="DU29" s="132">
        <v>0</v>
      </c>
      <c r="DV29" s="132">
        <v>0</v>
      </c>
      <c r="DW29" s="132">
        <v>0</v>
      </c>
      <c r="DX29" s="132">
        <v>0</v>
      </c>
      <c r="DY29" s="132">
        <v>0</v>
      </c>
      <c r="DZ29" s="132">
        <v>0</v>
      </c>
      <c r="EA29" s="132">
        <v>0</v>
      </c>
      <c r="EB29" s="5">
        <f t="shared" si="8"/>
        <v>26.549999999999994</v>
      </c>
      <c r="EC29" s="5">
        <v>4</v>
      </c>
      <c r="ED29" s="5">
        <f t="shared" si="12"/>
        <v>32</v>
      </c>
      <c r="EE29" s="7">
        <f t="shared" si="13"/>
        <v>5.4500000000000064</v>
      </c>
      <c r="EF29" s="40" t="str">
        <f t="shared" si="7"/>
        <v/>
      </c>
      <c r="EG29" s="41" t="str">
        <f t="shared" si="9"/>
        <v/>
      </c>
    </row>
    <row r="30" spans="1:137" x14ac:dyDescent="0.25">
      <c r="A30" s="129" t="s">
        <v>142</v>
      </c>
      <c r="B30" s="129"/>
      <c r="C30" s="130">
        <v>24</v>
      </c>
      <c r="D30" s="131">
        <v>45807</v>
      </c>
      <c r="E30" s="132" t="s">
        <v>37</v>
      </c>
      <c r="F30" s="132" t="s">
        <v>37</v>
      </c>
      <c r="G30" s="132" t="s">
        <v>37</v>
      </c>
      <c r="H30" s="132" t="s">
        <v>37</v>
      </c>
      <c r="I30" s="132" t="s">
        <v>37</v>
      </c>
      <c r="J30" s="132" t="s">
        <v>37</v>
      </c>
      <c r="K30" s="132" t="s">
        <v>37</v>
      </c>
      <c r="L30" s="132" t="s">
        <v>37</v>
      </c>
      <c r="M30" s="139"/>
      <c r="N30" s="132" t="s">
        <v>37</v>
      </c>
      <c r="O30" s="132" t="s">
        <v>37</v>
      </c>
      <c r="P30" s="132" t="s">
        <v>37</v>
      </c>
      <c r="Q30" s="132" t="s">
        <v>37</v>
      </c>
      <c r="R30" s="132" t="s">
        <v>37</v>
      </c>
      <c r="S30" s="132" t="s">
        <v>37</v>
      </c>
      <c r="T30" s="132" t="s">
        <v>37</v>
      </c>
      <c r="U30" s="132" t="s">
        <v>37</v>
      </c>
      <c r="V30" s="139"/>
      <c r="W30" s="132" t="s">
        <v>37</v>
      </c>
      <c r="X30" s="132" t="s">
        <v>37</v>
      </c>
      <c r="Y30" s="132" t="s">
        <v>37</v>
      </c>
      <c r="Z30" s="132" t="s">
        <v>37</v>
      </c>
      <c r="AA30" s="132" t="s">
        <v>37</v>
      </c>
      <c r="AB30" s="132" t="s">
        <v>37</v>
      </c>
      <c r="AC30" s="132" t="s">
        <v>37</v>
      </c>
      <c r="AD30" s="132" t="s">
        <v>37</v>
      </c>
      <c r="AE30" s="132" t="s">
        <v>37</v>
      </c>
      <c r="AF30" s="139"/>
      <c r="AG30" s="132" t="s">
        <v>37</v>
      </c>
      <c r="AH30" s="132">
        <v>1</v>
      </c>
      <c r="AI30" s="132">
        <v>1</v>
      </c>
      <c r="AJ30" s="132">
        <v>0.5</v>
      </c>
      <c r="AK30" s="132">
        <v>0.5</v>
      </c>
      <c r="AL30" s="132">
        <v>0.5</v>
      </c>
      <c r="AM30" s="132" t="s">
        <v>37</v>
      </c>
      <c r="AN30" s="132" t="s">
        <v>37</v>
      </c>
      <c r="AO30" s="132">
        <v>0.5</v>
      </c>
      <c r="AP30" s="139"/>
      <c r="AQ30" s="132">
        <v>0.5</v>
      </c>
      <c r="AR30" s="132">
        <v>0.5</v>
      </c>
      <c r="AS30" s="132">
        <v>0</v>
      </c>
      <c r="AT30" s="132">
        <v>0</v>
      </c>
      <c r="AU30" s="132">
        <v>0</v>
      </c>
      <c r="AV30" s="132">
        <v>1</v>
      </c>
      <c r="AW30" s="132">
        <v>1</v>
      </c>
      <c r="AX30" s="132">
        <v>0</v>
      </c>
      <c r="AY30" s="132">
        <v>0</v>
      </c>
      <c r="AZ30" s="132">
        <v>0</v>
      </c>
      <c r="BA30" s="139"/>
      <c r="BB30" s="132">
        <v>0</v>
      </c>
      <c r="BC30" s="132">
        <v>0</v>
      </c>
      <c r="BD30" s="132">
        <v>0</v>
      </c>
      <c r="BE30" s="132">
        <v>0</v>
      </c>
      <c r="BF30" s="132">
        <v>0</v>
      </c>
      <c r="BG30" s="132">
        <v>0</v>
      </c>
      <c r="BH30" s="132">
        <v>0</v>
      </c>
      <c r="BI30" s="132">
        <v>0</v>
      </c>
      <c r="BJ30" s="132">
        <v>0</v>
      </c>
      <c r="BK30" s="132">
        <v>0</v>
      </c>
      <c r="BL30" s="132">
        <v>0</v>
      </c>
      <c r="BM30" s="132">
        <v>0</v>
      </c>
      <c r="BN30" s="132">
        <v>0</v>
      </c>
      <c r="BO30" s="132">
        <v>0</v>
      </c>
      <c r="BP30" s="139"/>
      <c r="BQ30" s="132">
        <v>0</v>
      </c>
      <c r="BR30" s="132">
        <v>0</v>
      </c>
      <c r="BS30" s="132">
        <v>0</v>
      </c>
      <c r="BT30" s="132" t="s">
        <v>37</v>
      </c>
      <c r="BU30" s="132" t="s">
        <v>37</v>
      </c>
      <c r="BV30" s="132" t="s">
        <v>37</v>
      </c>
      <c r="BW30" s="132" t="s">
        <v>37</v>
      </c>
      <c r="BX30" s="132" t="s">
        <v>37</v>
      </c>
      <c r="BY30" s="132" t="s">
        <v>37</v>
      </c>
      <c r="BZ30" s="132" t="s">
        <v>37</v>
      </c>
      <c r="CA30" s="139"/>
      <c r="CB30" s="132">
        <v>0</v>
      </c>
      <c r="CC30" s="132">
        <v>0</v>
      </c>
      <c r="CD30" s="132">
        <v>0</v>
      </c>
      <c r="CE30" s="132">
        <v>0</v>
      </c>
      <c r="CF30" s="132">
        <v>0</v>
      </c>
      <c r="CG30" s="132">
        <v>0</v>
      </c>
      <c r="CH30" s="132">
        <v>0</v>
      </c>
      <c r="CI30" s="132">
        <v>0</v>
      </c>
      <c r="CJ30" s="132">
        <v>0</v>
      </c>
      <c r="CK30" s="139"/>
      <c r="CL30" s="132">
        <v>0</v>
      </c>
      <c r="CM30" s="132">
        <v>0</v>
      </c>
      <c r="CN30" s="132">
        <v>0</v>
      </c>
      <c r="CO30" s="132">
        <v>0</v>
      </c>
      <c r="CP30" s="132">
        <v>0</v>
      </c>
      <c r="CQ30" s="132">
        <v>0</v>
      </c>
      <c r="CR30" s="132">
        <v>0.7</v>
      </c>
      <c r="CS30" s="132">
        <v>0</v>
      </c>
      <c r="CT30" s="132">
        <v>0</v>
      </c>
      <c r="CU30" s="132" t="s">
        <v>37</v>
      </c>
      <c r="CV30" s="132">
        <v>0.7</v>
      </c>
      <c r="CW30" s="132">
        <v>0</v>
      </c>
      <c r="CX30" s="132">
        <v>0</v>
      </c>
      <c r="CY30" s="139"/>
      <c r="CZ30" s="109">
        <v>0</v>
      </c>
      <c r="DA30" s="109" t="s">
        <v>37</v>
      </c>
      <c r="DB30" s="133" t="s">
        <v>37</v>
      </c>
      <c r="DC30" s="109">
        <v>0</v>
      </c>
      <c r="DD30" s="132">
        <v>0</v>
      </c>
      <c r="DE30" s="132">
        <v>0</v>
      </c>
      <c r="DF30" s="132">
        <v>0</v>
      </c>
      <c r="DG30" s="132">
        <v>0</v>
      </c>
      <c r="DH30" s="132">
        <v>0</v>
      </c>
      <c r="DI30" s="132">
        <v>0</v>
      </c>
      <c r="DJ30" s="132">
        <v>0.7</v>
      </c>
      <c r="DK30" s="132">
        <v>0</v>
      </c>
      <c r="DL30" s="149"/>
      <c r="DM30" s="139"/>
      <c r="DN30" s="132">
        <v>0</v>
      </c>
      <c r="DO30" s="132">
        <v>0</v>
      </c>
      <c r="DP30" s="109" t="s">
        <v>37</v>
      </c>
      <c r="DQ30" s="133" t="s">
        <v>37</v>
      </c>
      <c r="DR30" s="109" t="s">
        <v>37</v>
      </c>
      <c r="DS30" s="133" t="s">
        <v>37</v>
      </c>
      <c r="DT30" s="132">
        <v>0</v>
      </c>
      <c r="DU30" s="132">
        <v>0</v>
      </c>
      <c r="DV30" s="132">
        <v>0</v>
      </c>
      <c r="DW30" s="132">
        <v>0</v>
      </c>
      <c r="DX30" s="132">
        <v>0</v>
      </c>
      <c r="DY30" s="132">
        <v>0</v>
      </c>
      <c r="DZ30" s="132">
        <v>0</v>
      </c>
      <c r="EA30" s="132">
        <v>0</v>
      </c>
      <c r="EB30" s="5">
        <f t="shared" si="8"/>
        <v>9.1</v>
      </c>
      <c r="EC30" s="5">
        <v>2</v>
      </c>
      <c r="ED30" s="5">
        <f t="shared" ref="ED30" si="14">EC30*8</f>
        <v>16</v>
      </c>
      <c r="EE30" s="7">
        <f t="shared" ref="EE30" si="15">ED30-EB30</f>
        <v>6.9</v>
      </c>
      <c r="EF30" s="40" t="str">
        <f t="shared" si="7"/>
        <v/>
      </c>
      <c r="EG30" s="41" t="str">
        <f t="shared" si="9"/>
        <v/>
      </c>
    </row>
    <row r="31" spans="1:137" x14ac:dyDescent="0.25">
      <c r="A31" s="129" t="s">
        <v>147</v>
      </c>
      <c r="B31" s="129"/>
      <c r="C31" s="130">
        <v>25</v>
      </c>
      <c r="D31" s="131">
        <v>45804</v>
      </c>
      <c r="E31" s="132" t="s">
        <v>37</v>
      </c>
      <c r="F31" s="132" t="s">
        <v>37</v>
      </c>
      <c r="G31" s="132" t="s">
        <v>37</v>
      </c>
      <c r="H31" s="132" t="s">
        <v>37</v>
      </c>
      <c r="I31" s="132" t="s">
        <v>37</v>
      </c>
      <c r="J31" s="132" t="s">
        <v>37</v>
      </c>
      <c r="K31" s="132" t="s">
        <v>37</v>
      </c>
      <c r="L31" s="132" t="s">
        <v>37</v>
      </c>
      <c r="M31" s="139"/>
      <c r="N31" s="132" t="s">
        <v>37</v>
      </c>
      <c r="O31" s="132" t="s">
        <v>37</v>
      </c>
      <c r="P31" s="132" t="s">
        <v>37</v>
      </c>
      <c r="Q31" s="132" t="s">
        <v>37</v>
      </c>
      <c r="R31" s="132" t="s">
        <v>37</v>
      </c>
      <c r="S31" s="132" t="s">
        <v>37</v>
      </c>
      <c r="T31" s="132" t="s">
        <v>37</v>
      </c>
      <c r="U31" s="132" t="s">
        <v>37</v>
      </c>
      <c r="V31" s="139"/>
      <c r="W31" s="132" t="s">
        <v>37</v>
      </c>
      <c r="X31" s="132" t="s">
        <v>37</v>
      </c>
      <c r="Y31" s="132" t="s">
        <v>37</v>
      </c>
      <c r="Z31" s="132" t="s">
        <v>37</v>
      </c>
      <c r="AA31" s="132" t="s">
        <v>37</v>
      </c>
      <c r="AB31" s="132" t="s">
        <v>37</v>
      </c>
      <c r="AC31" s="132" t="s">
        <v>37</v>
      </c>
      <c r="AD31" s="132" t="s">
        <v>37</v>
      </c>
      <c r="AE31" s="132" t="s">
        <v>37</v>
      </c>
      <c r="AF31" s="139"/>
      <c r="AG31" s="132" t="s">
        <v>37</v>
      </c>
      <c r="AH31" s="132" t="s">
        <v>37</v>
      </c>
      <c r="AI31" s="132" t="s">
        <v>37</v>
      </c>
      <c r="AJ31" s="132" t="s">
        <v>37</v>
      </c>
      <c r="AK31" s="132" t="s">
        <v>37</v>
      </c>
      <c r="AL31" s="132">
        <v>1</v>
      </c>
      <c r="AM31" s="132" t="s">
        <v>37</v>
      </c>
      <c r="AN31" s="132" t="s">
        <v>37</v>
      </c>
      <c r="AO31" s="132">
        <v>1</v>
      </c>
      <c r="AP31" s="139"/>
      <c r="AQ31" s="132">
        <v>1</v>
      </c>
      <c r="AR31" s="132">
        <v>0.5</v>
      </c>
      <c r="AS31" s="132">
        <v>1</v>
      </c>
      <c r="AT31" s="132">
        <v>0</v>
      </c>
      <c r="AU31" s="132">
        <v>0</v>
      </c>
      <c r="AV31" s="132">
        <v>0</v>
      </c>
      <c r="AW31" s="132">
        <v>0</v>
      </c>
      <c r="AX31" s="132">
        <v>0</v>
      </c>
      <c r="AY31" s="132">
        <v>0</v>
      </c>
      <c r="AZ31" s="132">
        <v>0</v>
      </c>
      <c r="BA31" s="139"/>
      <c r="BB31" s="132">
        <v>0</v>
      </c>
      <c r="BC31" s="132">
        <v>0</v>
      </c>
      <c r="BD31" s="132">
        <v>0</v>
      </c>
      <c r="BE31" s="132">
        <v>0.75</v>
      </c>
      <c r="BF31" s="132">
        <v>0.75</v>
      </c>
      <c r="BG31" s="132">
        <v>0.75</v>
      </c>
      <c r="BH31" s="132">
        <v>0.75</v>
      </c>
      <c r="BI31" s="132">
        <v>0.75</v>
      </c>
      <c r="BJ31" s="132">
        <v>0.75</v>
      </c>
      <c r="BK31" s="132">
        <v>0.75</v>
      </c>
      <c r="BL31" s="132">
        <v>0.75</v>
      </c>
      <c r="BM31" s="132">
        <v>0.75</v>
      </c>
      <c r="BN31" s="132">
        <v>0.75</v>
      </c>
      <c r="BO31" s="132">
        <v>0.75</v>
      </c>
      <c r="BP31" s="139"/>
      <c r="BQ31" s="132">
        <v>0.75</v>
      </c>
      <c r="BR31" s="132">
        <v>0.75</v>
      </c>
      <c r="BS31" s="132">
        <v>0.75</v>
      </c>
      <c r="BT31" s="132" t="s">
        <v>37</v>
      </c>
      <c r="BU31" s="132" t="s">
        <v>37</v>
      </c>
      <c r="BV31" s="132" t="s">
        <v>37</v>
      </c>
      <c r="BW31" s="132" t="s">
        <v>37</v>
      </c>
      <c r="BX31" s="132" t="s">
        <v>37</v>
      </c>
      <c r="BY31" s="132" t="s">
        <v>37</v>
      </c>
      <c r="BZ31" s="132" t="s">
        <v>37</v>
      </c>
      <c r="CA31" s="139"/>
      <c r="CB31" s="132">
        <v>0</v>
      </c>
      <c r="CC31" s="132">
        <v>0</v>
      </c>
      <c r="CD31" s="132">
        <v>0</v>
      </c>
      <c r="CE31" s="132">
        <v>0</v>
      </c>
      <c r="CF31" s="132">
        <v>0</v>
      </c>
      <c r="CG31" s="132">
        <v>0</v>
      </c>
      <c r="CH31" s="132">
        <v>0</v>
      </c>
      <c r="CI31" s="132">
        <v>0</v>
      </c>
      <c r="CJ31" s="132">
        <v>0</v>
      </c>
      <c r="CK31" s="139"/>
      <c r="CL31" s="132">
        <v>0</v>
      </c>
      <c r="CM31" s="132">
        <v>0</v>
      </c>
      <c r="CN31" s="132">
        <v>0</v>
      </c>
      <c r="CO31" s="132">
        <v>0</v>
      </c>
      <c r="CP31" s="132">
        <v>0</v>
      </c>
      <c r="CQ31" s="132">
        <v>0</v>
      </c>
      <c r="CR31" s="132">
        <v>0</v>
      </c>
      <c r="CS31" s="132">
        <v>0</v>
      </c>
      <c r="CT31" s="132">
        <v>0.7</v>
      </c>
      <c r="CU31" s="132" t="s">
        <v>37</v>
      </c>
      <c r="CV31" s="132">
        <v>0.7</v>
      </c>
      <c r="CW31" s="132">
        <v>0.7</v>
      </c>
      <c r="CX31" s="132">
        <v>0.7</v>
      </c>
      <c r="CY31" s="139"/>
      <c r="CZ31" s="109">
        <v>0.7</v>
      </c>
      <c r="DA31" s="109" t="s">
        <v>37</v>
      </c>
      <c r="DB31" s="133" t="s">
        <v>37</v>
      </c>
      <c r="DC31" s="109">
        <v>0.7</v>
      </c>
      <c r="DD31" s="132">
        <v>0.7</v>
      </c>
      <c r="DE31" s="132">
        <v>0.7</v>
      </c>
      <c r="DF31" s="132">
        <v>0.7</v>
      </c>
      <c r="DG31" s="132">
        <v>0</v>
      </c>
      <c r="DH31" s="132">
        <v>0</v>
      </c>
      <c r="DI31" s="132">
        <v>0.7</v>
      </c>
      <c r="DJ31" s="132">
        <v>0.7</v>
      </c>
      <c r="DK31" s="132">
        <v>0.7</v>
      </c>
      <c r="DL31" s="132">
        <v>0.7</v>
      </c>
      <c r="DM31" s="139"/>
      <c r="DN31" s="132">
        <v>0.7</v>
      </c>
      <c r="DO31" s="132">
        <v>0.7</v>
      </c>
      <c r="DP31" s="109" t="s">
        <v>37</v>
      </c>
      <c r="DQ31" s="133" t="s">
        <v>37</v>
      </c>
      <c r="DR31" s="109" t="s">
        <v>37</v>
      </c>
      <c r="DS31" s="133" t="s">
        <v>37</v>
      </c>
      <c r="DT31" s="132">
        <v>0.7</v>
      </c>
      <c r="DU31" s="132">
        <v>0.7</v>
      </c>
      <c r="DV31" s="132">
        <v>0</v>
      </c>
      <c r="DW31" s="132">
        <v>0.7</v>
      </c>
      <c r="DX31" s="132">
        <v>0.7</v>
      </c>
      <c r="DY31" s="132">
        <v>0.7</v>
      </c>
      <c r="DZ31" s="132">
        <v>0.7</v>
      </c>
      <c r="EA31" s="132">
        <v>0</v>
      </c>
      <c r="EB31" s="5">
        <f t="shared" si="8"/>
        <v>29.699999999999985</v>
      </c>
      <c r="EC31" s="5">
        <v>4</v>
      </c>
      <c r="ED31" s="5">
        <f t="shared" ref="ED31" si="16">EC31*8</f>
        <v>32</v>
      </c>
      <c r="EE31" s="7">
        <f t="shared" ref="EE31" si="17">ED31-EB31</f>
        <v>2.3000000000000149</v>
      </c>
      <c r="EF31" s="40" t="str">
        <f t="shared" ref="EF31" si="18">IF(EE31&gt;0, "","NO")</f>
        <v/>
      </c>
      <c r="EG31" s="41" t="str">
        <f t="shared" si="9"/>
        <v/>
      </c>
    </row>
    <row r="32" spans="1:137" x14ac:dyDescent="0.25">
      <c r="A32" s="129" t="s">
        <v>158</v>
      </c>
      <c r="B32" s="129"/>
      <c r="C32" s="130">
        <v>26</v>
      </c>
      <c r="D32" s="131">
        <v>45807</v>
      </c>
      <c r="E32" s="132" t="s">
        <v>37</v>
      </c>
      <c r="F32" s="132" t="s">
        <v>37</v>
      </c>
      <c r="G32" s="132" t="s">
        <v>37</v>
      </c>
      <c r="H32" s="132" t="s">
        <v>37</v>
      </c>
      <c r="I32" s="132" t="s">
        <v>37</v>
      </c>
      <c r="J32" s="132" t="s">
        <v>37</v>
      </c>
      <c r="K32" s="132" t="s">
        <v>37</v>
      </c>
      <c r="L32" s="132" t="s">
        <v>37</v>
      </c>
      <c r="M32" s="139"/>
      <c r="N32" s="132" t="s">
        <v>37</v>
      </c>
      <c r="O32" s="132" t="s">
        <v>37</v>
      </c>
      <c r="P32" s="132" t="s">
        <v>37</v>
      </c>
      <c r="Q32" s="132" t="s">
        <v>37</v>
      </c>
      <c r="R32" s="132" t="s">
        <v>37</v>
      </c>
      <c r="S32" s="132" t="s">
        <v>37</v>
      </c>
      <c r="T32" s="132" t="s">
        <v>37</v>
      </c>
      <c r="U32" s="132" t="s">
        <v>37</v>
      </c>
      <c r="V32" s="139"/>
      <c r="W32" s="132" t="s">
        <v>37</v>
      </c>
      <c r="X32" s="132" t="s">
        <v>37</v>
      </c>
      <c r="Y32" s="132" t="s">
        <v>37</v>
      </c>
      <c r="Z32" s="132" t="s">
        <v>37</v>
      </c>
      <c r="AA32" s="132" t="s">
        <v>37</v>
      </c>
      <c r="AB32" s="132" t="s">
        <v>37</v>
      </c>
      <c r="AC32" s="132" t="s">
        <v>37</v>
      </c>
      <c r="AD32" s="132" t="s">
        <v>37</v>
      </c>
      <c r="AE32" s="132" t="s">
        <v>37</v>
      </c>
      <c r="AF32" s="139"/>
      <c r="AG32" s="132" t="s">
        <v>37</v>
      </c>
      <c r="AH32" s="132" t="s">
        <v>37</v>
      </c>
      <c r="AI32" s="132" t="s">
        <v>37</v>
      </c>
      <c r="AJ32" s="132" t="s">
        <v>37</v>
      </c>
      <c r="AK32" s="132" t="s">
        <v>37</v>
      </c>
      <c r="AL32" s="132" t="s">
        <v>37</v>
      </c>
      <c r="AM32" s="132" t="s">
        <v>37</v>
      </c>
      <c r="AN32" s="132" t="s">
        <v>37</v>
      </c>
      <c r="AO32" s="132" t="s">
        <v>37</v>
      </c>
      <c r="AP32" s="139"/>
      <c r="AQ32" s="132" t="s">
        <v>37</v>
      </c>
      <c r="AR32" s="132" t="s">
        <v>37</v>
      </c>
      <c r="AS32" s="132">
        <v>1</v>
      </c>
      <c r="AT32" s="132">
        <v>1</v>
      </c>
      <c r="AU32" s="132">
        <v>1</v>
      </c>
      <c r="AV32" s="132">
        <v>0</v>
      </c>
      <c r="AW32" s="132">
        <v>1</v>
      </c>
      <c r="AX32" s="132">
        <v>1</v>
      </c>
      <c r="AY32" s="132">
        <v>1</v>
      </c>
      <c r="AZ32" s="132">
        <v>0</v>
      </c>
      <c r="BA32" s="139"/>
      <c r="BB32" s="132">
        <v>0.75</v>
      </c>
      <c r="BC32" s="132">
        <v>0.75</v>
      </c>
      <c r="BD32" s="132">
        <v>0.75</v>
      </c>
      <c r="BE32" s="132">
        <v>0.75</v>
      </c>
      <c r="BF32" s="132">
        <v>0.75</v>
      </c>
      <c r="BG32" s="132">
        <v>0</v>
      </c>
      <c r="BH32" s="132">
        <v>0</v>
      </c>
      <c r="BI32" s="132">
        <v>0</v>
      </c>
      <c r="BJ32" s="132">
        <v>0</v>
      </c>
      <c r="BK32" s="132">
        <v>0</v>
      </c>
      <c r="BL32" s="132">
        <v>0</v>
      </c>
      <c r="BM32" s="132">
        <v>0</v>
      </c>
      <c r="BN32" s="132">
        <v>0.75</v>
      </c>
      <c r="BO32" s="132">
        <v>0.75</v>
      </c>
      <c r="BP32" s="139"/>
      <c r="BQ32" s="132">
        <v>0.75</v>
      </c>
      <c r="BR32" s="132">
        <v>0.75</v>
      </c>
      <c r="BS32" s="132">
        <v>0</v>
      </c>
      <c r="BT32" s="132" t="s">
        <v>37</v>
      </c>
      <c r="BU32" s="132" t="s">
        <v>37</v>
      </c>
      <c r="BV32" s="132" t="s">
        <v>37</v>
      </c>
      <c r="BW32" s="132" t="s">
        <v>37</v>
      </c>
      <c r="BX32" s="132" t="s">
        <v>37</v>
      </c>
      <c r="BY32" s="132" t="s">
        <v>37</v>
      </c>
      <c r="BZ32" s="132" t="s">
        <v>37</v>
      </c>
      <c r="CA32" s="139"/>
      <c r="CB32" s="132">
        <v>0.7</v>
      </c>
      <c r="CC32" s="132">
        <v>0.7</v>
      </c>
      <c r="CD32" s="132">
        <v>0.7</v>
      </c>
      <c r="CE32" s="132">
        <v>0.7</v>
      </c>
      <c r="CF32" s="132">
        <v>0.7</v>
      </c>
      <c r="CG32" s="132">
        <v>0.7</v>
      </c>
      <c r="CH32" s="132">
        <v>0.7</v>
      </c>
      <c r="CI32" s="132">
        <v>0.7</v>
      </c>
      <c r="CJ32" s="132">
        <v>0.7</v>
      </c>
      <c r="CK32" s="139"/>
      <c r="CL32" s="132">
        <v>0.7</v>
      </c>
      <c r="CM32" s="132">
        <v>0.7</v>
      </c>
      <c r="CN32" s="132">
        <v>0.7</v>
      </c>
      <c r="CO32" s="132">
        <v>0.7</v>
      </c>
      <c r="CP32" s="132">
        <v>0.7</v>
      </c>
      <c r="CQ32" s="132">
        <v>0.7</v>
      </c>
      <c r="CR32" s="132">
        <v>0.7</v>
      </c>
      <c r="CS32" s="132">
        <v>0</v>
      </c>
      <c r="CT32" s="132">
        <v>0</v>
      </c>
      <c r="CU32" s="132" t="s">
        <v>37</v>
      </c>
      <c r="CV32" s="132">
        <v>0</v>
      </c>
      <c r="CW32" s="132">
        <v>0</v>
      </c>
      <c r="CX32" s="132">
        <v>0</v>
      </c>
      <c r="CY32" s="139"/>
      <c r="CZ32" s="109">
        <v>0</v>
      </c>
      <c r="DA32" s="109" t="s">
        <v>37</v>
      </c>
      <c r="DB32" s="133" t="s">
        <v>37</v>
      </c>
      <c r="DC32" s="109">
        <v>0.7</v>
      </c>
      <c r="DD32" s="132">
        <v>0.7</v>
      </c>
      <c r="DE32" s="132">
        <v>0.7</v>
      </c>
      <c r="DF32" s="132">
        <v>0.7</v>
      </c>
      <c r="DG32" s="132">
        <v>0.7</v>
      </c>
      <c r="DH32" s="132">
        <v>0.7</v>
      </c>
      <c r="DI32" s="132">
        <v>0</v>
      </c>
      <c r="DJ32" s="132">
        <v>0.7</v>
      </c>
      <c r="DK32" s="132">
        <v>0</v>
      </c>
      <c r="DL32" s="149">
        <v>0.7</v>
      </c>
      <c r="DM32" s="139"/>
      <c r="DN32" s="132">
        <v>0.7</v>
      </c>
      <c r="DO32" s="132">
        <v>0</v>
      </c>
      <c r="DP32" s="109" t="s">
        <v>37</v>
      </c>
      <c r="DQ32" s="133" t="s">
        <v>37</v>
      </c>
      <c r="DR32" s="109" t="s">
        <v>37</v>
      </c>
      <c r="DS32" s="133" t="s">
        <v>37</v>
      </c>
      <c r="DT32" s="132">
        <v>0</v>
      </c>
      <c r="DU32" s="132">
        <v>0</v>
      </c>
      <c r="DV32" s="132">
        <v>0</v>
      </c>
      <c r="DW32" s="132">
        <v>0</v>
      </c>
      <c r="DX32" s="132">
        <v>0</v>
      </c>
      <c r="DY32" s="132">
        <v>0</v>
      </c>
      <c r="DZ32" s="132">
        <v>0</v>
      </c>
      <c r="EA32" s="132">
        <v>0</v>
      </c>
      <c r="EB32" s="5">
        <f t="shared" si="8"/>
        <v>30.249999999999982</v>
      </c>
      <c r="EC32" s="5">
        <v>4</v>
      </c>
      <c r="ED32" s="5">
        <f t="shared" ref="ED32:ED33" si="19">EC32*8</f>
        <v>32</v>
      </c>
      <c r="EE32" s="7">
        <f t="shared" ref="EE32:EE33" si="20">ED32-EB32</f>
        <v>1.7500000000000178</v>
      </c>
      <c r="EF32" s="40" t="str">
        <f t="shared" ref="EF32:EF33" si="21">IF(EE32&gt;0, "","NO")</f>
        <v/>
      </c>
      <c r="EG32" s="41" t="str">
        <f t="shared" si="9"/>
        <v/>
      </c>
    </row>
    <row r="33" spans="1:137" x14ac:dyDescent="0.25">
      <c r="A33" s="129" t="s">
        <v>164</v>
      </c>
      <c r="B33" s="129"/>
      <c r="C33" s="130">
        <v>27</v>
      </c>
      <c r="D33" s="131">
        <v>45809</v>
      </c>
      <c r="E33" s="132" t="s">
        <v>37</v>
      </c>
      <c r="F33" s="132" t="s">
        <v>37</v>
      </c>
      <c r="G33" s="132" t="s">
        <v>37</v>
      </c>
      <c r="H33" s="132" t="s">
        <v>37</v>
      </c>
      <c r="I33" s="132" t="s">
        <v>37</v>
      </c>
      <c r="J33" s="132" t="s">
        <v>37</v>
      </c>
      <c r="K33" s="132" t="s">
        <v>37</v>
      </c>
      <c r="L33" s="132" t="s">
        <v>37</v>
      </c>
      <c r="M33" s="139"/>
      <c r="N33" s="132" t="s">
        <v>37</v>
      </c>
      <c r="O33" s="132" t="s">
        <v>37</v>
      </c>
      <c r="P33" s="132" t="s">
        <v>37</v>
      </c>
      <c r="Q33" s="132" t="s">
        <v>37</v>
      </c>
      <c r="R33" s="132" t="s">
        <v>37</v>
      </c>
      <c r="S33" s="132" t="s">
        <v>37</v>
      </c>
      <c r="T33" s="132" t="s">
        <v>37</v>
      </c>
      <c r="U33" s="132" t="s">
        <v>37</v>
      </c>
      <c r="V33" s="139"/>
      <c r="W33" s="132" t="s">
        <v>37</v>
      </c>
      <c r="X33" s="132" t="s">
        <v>37</v>
      </c>
      <c r="Y33" s="132" t="s">
        <v>37</v>
      </c>
      <c r="Z33" s="132" t="s">
        <v>37</v>
      </c>
      <c r="AA33" s="132" t="s">
        <v>37</v>
      </c>
      <c r="AB33" s="132" t="s">
        <v>37</v>
      </c>
      <c r="AC33" s="132" t="s">
        <v>37</v>
      </c>
      <c r="AD33" s="132" t="s">
        <v>37</v>
      </c>
      <c r="AE33" s="132" t="s">
        <v>37</v>
      </c>
      <c r="AF33" s="139"/>
      <c r="AG33" s="132" t="s">
        <v>37</v>
      </c>
      <c r="AH33" s="132" t="s">
        <v>37</v>
      </c>
      <c r="AI33" s="132" t="s">
        <v>37</v>
      </c>
      <c r="AJ33" s="132" t="s">
        <v>37</v>
      </c>
      <c r="AK33" s="132" t="s">
        <v>37</v>
      </c>
      <c r="AL33" s="132" t="s">
        <v>37</v>
      </c>
      <c r="AM33" s="132" t="s">
        <v>37</v>
      </c>
      <c r="AN33" s="132" t="s">
        <v>37</v>
      </c>
      <c r="AO33" s="132" t="s">
        <v>37</v>
      </c>
      <c r="AP33" s="139"/>
      <c r="AQ33" s="132" t="s">
        <v>37</v>
      </c>
      <c r="AR33" s="132" t="s">
        <v>37</v>
      </c>
      <c r="AS33" s="132" t="s">
        <v>37</v>
      </c>
      <c r="AT33" s="132">
        <v>1</v>
      </c>
      <c r="AU33" s="132">
        <v>1</v>
      </c>
      <c r="AV33" s="132">
        <v>1</v>
      </c>
      <c r="AW33" s="132">
        <v>1</v>
      </c>
      <c r="AX33" s="132">
        <v>1</v>
      </c>
      <c r="AY33" s="132">
        <v>1</v>
      </c>
      <c r="AZ33" s="132">
        <v>1</v>
      </c>
      <c r="BA33" s="139"/>
      <c r="BB33" s="132">
        <v>0.75</v>
      </c>
      <c r="BC33" s="132">
        <v>0.75</v>
      </c>
      <c r="BD33" s="132">
        <v>0.75</v>
      </c>
      <c r="BE33" s="132">
        <v>0.75</v>
      </c>
      <c r="BF33" s="132">
        <v>0.75</v>
      </c>
      <c r="BG33" s="132">
        <v>0.75</v>
      </c>
      <c r="BH33" s="132">
        <v>0.75</v>
      </c>
      <c r="BI33" s="132">
        <v>0.75</v>
      </c>
      <c r="BJ33" s="132">
        <v>0</v>
      </c>
      <c r="BK33" s="132">
        <v>0.75</v>
      </c>
      <c r="BL33" s="132">
        <v>0.75</v>
      </c>
      <c r="BM33" s="132">
        <v>0.75</v>
      </c>
      <c r="BN33" s="132">
        <v>0.75</v>
      </c>
      <c r="BO33" s="132">
        <v>0.75</v>
      </c>
      <c r="BP33" s="139"/>
      <c r="BQ33" s="132">
        <v>0.75</v>
      </c>
      <c r="BR33" s="132">
        <v>0.75</v>
      </c>
      <c r="BS33" s="132">
        <v>0</v>
      </c>
      <c r="BT33" s="132" t="s">
        <v>37</v>
      </c>
      <c r="BU33" s="132" t="s">
        <v>37</v>
      </c>
      <c r="BV33" s="132" t="s">
        <v>37</v>
      </c>
      <c r="BW33" s="132" t="s">
        <v>37</v>
      </c>
      <c r="BX33" s="132" t="s">
        <v>37</v>
      </c>
      <c r="BY33" s="132" t="s">
        <v>37</v>
      </c>
      <c r="BZ33" s="132" t="s">
        <v>37</v>
      </c>
      <c r="CA33" s="139"/>
      <c r="CB33" s="132">
        <v>0.7</v>
      </c>
      <c r="CC33" s="132">
        <v>0.7</v>
      </c>
      <c r="CD33" s="132">
        <v>0.7</v>
      </c>
      <c r="CE33" s="132">
        <v>0.7</v>
      </c>
      <c r="CF33" s="132">
        <v>0</v>
      </c>
      <c r="CG33" s="132">
        <v>0.7</v>
      </c>
      <c r="CH33" s="132">
        <v>0.7</v>
      </c>
      <c r="CI33" s="132">
        <v>0.7</v>
      </c>
      <c r="CJ33" s="132">
        <v>0.7</v>
      </c>
      <c r="CK33" s="139"/>
      <c r="CL33" s="132">
        <v>0.7</v>
      </c>
      <c r="CM33" s="132">
        <v>0.7</v>
      </c>
      <c r="CN33" s="132">
        <v>0.7</v>
      </c>
      <c r="CO33" s="132">
        <v>0</v>
      </c>
      <c r="CP33" s="132">
        <v>0.7</v>
      </c>
      <c r="CQ33" s="132">
        <v>0.7</v>
      </c>
      <c r="CR33" s="132">
        <v>0.7</v>
      </c>
      <c r="CS33" s="132">
        <v>0.7</v>
      </c>
      <c r="CT33" s="132">
        <v>0.7</v>
      </c>
      <c r="CU33" s="132" t="s">
        <v>37</v>
      </c>
      <c r="CV33" s="132">
        <v>0.7</v>
      </c>
      <c r="CW33" s="132">
        <v>0</v>
      </c>
      <c r="CX33" s="132">
        <v>0.7</v>
      </c>
      <c r="CY33" s="139"/>
      <c r="CZ33" s="109">
        <v>0</v>
      </c>
      <c r="DA33" s="109" t="s">
        <v>37</v>
      </c>
      <c r="DB33" s="133" t="s">
        <v>37</v>
      </c>
      <c r="DC33" s="109">
        <v>0.7</v>
      </c>
      <c r="DD33" s="132">
        <v>0.7</v>
      </c>
      <c r="DE33" s="132">
        <v>0.7</v>
      </c>
      <c r="DF33" s="132">
        <v>0.7</v>
      </c>
      <c r="DG33" s="132">
        <v>0.7</v>
      </c>
      <c r="DH33" s="132">
        <v>0.7</v>
      </c>
      <c r="DI33" s="132">
        <v>0.7</v>
      </c>
      <c r="DJ33" s="132">
        <v>0.7</v>
      </c>
      <c r="DK33" s="132">
        <v>0.7</v>
      </c>
      <c r="DL33" s="149">
        <v>0.7</v>
      </c>
      <c r="DM33" s="139"/>
      <c r="DN33" s="132">
        <v>0.7</v>
      </c>
      <c r="DO33" s="132">
        <v>0.7</v>
      </c>
      <c r="DP33" s="109" t="s">
        <v>37</v>
      </c>
      <c r="DQ33" s="133" t="s">
        <v>37</v>
      </c>
      <c r="DR33" s="109" t="s">
        <v>37</v>
      </c>
      <c r="DS33" s="133" t="s">
        <v>37</v>
      </c>
      <c r="DT33" s="132">
        <v>0.7</v>
      </c>
      <c r="DU33" s="132">
        <v>0.7</v>
      </c>
      <c r="DV33" s="132">
        <v>0.7</v>
      </c>
      <c r="DW33" s="132">
        <v>0.7</v>
      </c>
      <c r="DX33" s="132">
        <v>0.7</v>
      </c>
      <c r="DY33" s="132">
        <v>0</v>
      </c>
      <c r="DZ33" s="132">
        <v>0.7</v>
      </c>
      <c r="EA33" s="132">
        <v>0</v>
      </c>
      <c r="EB33" s="5">
        <f t="shared" si="8"/>
        <v>43.450000000000031</v>
      </c>
      <c r="EC33" s="5">
        <v>5</v>
      </c>
      <c r="ED33" s="5">
        <f t="shared" si="19"/>
        <v>40</v>
      </c>
      <c r="EE33" s="7">
        <f t="shared" si="20"/>
        <v>-3.4500000000000313</v>
      </c>
      <c r="EF33" s="40" t="str">
        <f t="shared" si="21"/>
        <v>NO</v>
      </c>
      <c r="EG33" s="41" t="str">
        <f t="shared" si="9"/>
        <v>مسعي بوبكر عبدالرزاق</v>
      </c>
    </row>
    <row r="34" spans="1:137" x14ac:dyDescent="0.25">
      <c r="A34" s="129" t="s">
        <v>160</v>
      </c>
      <c r="B34" s="129"/>
      <c r="C34" s="130">
        <v>28</v>
      </c>
      <c r="D34" s="131">
        <v>45813</v>
      </c>
      <c r="E34" s="132" t="s">
        <v>37</v>
      </c>
      <c r="F34" s="132" t="s">
        <v>37</v>
      </c>
      <c r="G34" s="132" t="s">
        <v>37</v>
      </c>
      <c r="H34" s="132" t="s">
        <v>37</v>
      </c>
      <c r="I34" s="132" t="s">
        <v>37</v>
      </c>
      <c r="J34" s="132" t="s">
        <v>37</v>
      </c>
      <c r="K34" s="132" t="s">
        <v>37</v>
      </c>
      <c r="L34" s="132" t="s">
        <v>37</v>
      </c>
      <c r="M34" s="139"/>
      <c r="N34" s="132" t="s">
        <v>37</v>
      </c>
      <c r="O34" s="132" t="s">
        <v>37</v>
      </c>
      <c r="P34" s="132" t="s">
        <v>37</v>
      </c>
      <c r="Q34" s="132" t="s">
        <v>37</v>
      </c>
      <c r="R34" s="132" t="s">
        <v>37</v>
      </c>
      <c r="S34" s="132" t="s">
        <v>37</v>
      </c>
      <c r="T34" s="132" t="s">
        <v>37</v>
      </c>
      <c r="U34" s="132" t="s">
        <v>37</v>
      </c>
      <c r="V34" s="139"/>
      <c r="W34" s="132" t="s">
        <v>37</v>
      </c>
      <c r="X34" s="132" t="s">
        <v>37</v>
      </c>
      <c r="Y34" s="132" t="s">
        <v>37</v>
      </c>
      <c r="Z34" s="132" t="s">
        <v>37</v>
      </c>
      <c r="AA34" s="132" t="s">
        <v>37</v>
      </c>
      <c r="AB34" s="132" t="s">
        <v>37</v>
      </c>
      <c r="AC34" s="132" t="s">
        <v>37</v>
      </c>
      <c r="AD34" s="132" t="s">
        <v>37</v>
      </c>
      <c r="AE34" s="132" t="s">
        <v>37</v>
      </c>
      <c r="AF34" s="139"/>
      <c r="AG34" s="132" t="s">
        <v>37</v>
      </c>
      <c r="AH34" s="132" t="s">
        <v>37</v>
      </c>
      <c r="AI34" s="132" t="s">
        <v>37</v>
      </c>
      <c r="AJ34" s="132" t="s">
        <v>37</v>
      </c>
      <c r="AK34" s="132" t="s">
        <v>37</v>
      </c>
      <c r="AL34" s="132" t="s">
        <v>37</v>
      </c>
      <c r="AM34" s="132" t="s">
        <v>37</v>
      </c>
      <c r="AN34" s="132" t="s">
        <v>37</v>
      </c>
      <c r="AO34" s="132" t="s">
        <v>37</v>
      </c>
      <c r="AP34" s="139"/>
      <c r="AQ34" s="132" t="s">
        <v>37</v>
      </c>
      <c r="AR34" s="132" t="s">
        <v>37</v>
      </c>
      <c r="AS34" s="132" t="s">
        <v>37</v>
      </c>
      <c r="AT34" s="132" t="s">
        <v>37</v>
      </c>
      <c r="AU34" s="132" t="s">
        <v>37</v>
      </c>
      <c r="AV34" s="132">
        <v>1</v>
      </c>
      <c r="AW34" s="132">
        <v>1</v>
      </c>
      <c r="AX34" s="132">
        <v>1</v>
      </c>
      <c r="AY34" s="132">
        <v>0</v>
      </c>
      <c r="AZ34" s="132">
        <v>1</v>
      </c>
      <c r="BA34" s="139"/>
      <c r="BB34" s="132">
        <v>0.75</v>
      </c>
      <c r="BC34" s="132">
        <v>0.75</v>
      </c>
      <c r="BD34" s="132">
        <v>0.75</v>
      </c>
      <c r="BE34" s="132">
        <v>0.75</v>
      </c>
      <c r="BF34" s="132">
        <v>0.75</v>
      </c>
      <c r="BG34" s="132">
        <v>0.75</v>
      </c>
      <c r="BH34" s="132">
        <v>0.75</v>
      </c>
      <c r="BI34" s="132">
        <v>0.75</v>
      </c>
      <c r="BJ34" s="132">
        <v>0</v>
      </c>
      <c r="BK34" s="132">
        <v>0.75</v>
      </c>
      <c r="BL34" s="132">
        <v>0.75</v>
      </c>
      <c r="BM34" s="132">
        <v>0.75</v>
      </c>
      <c r="BN34" s="132">
        <v>0.75</v>
      </c>
      <c r="BO34" s="132">
        <v>0.75</v>
      </c>
      <c r="BP34" s="139"/>
      <c r="BQ34" s="132">
        <v>0</v>
      </c>
      <c r="BR34" s="132">
        <v>0</v>
      </c>
      <c r="BS34" s="132">
        <v>0</v>
      </c>
      <c r="BT34" s="132" t="s">
        <v>37</v>
      </c>
      <c r="BU34" s="132" t="s">
        <v>37</v>
      </c>
      <c r="BV34" s="132" t="s">
        <v>37</v>
      </c>
      <c r="BW34" s="132" t="s">
        <v>37</v>
      </c>
      <c r="BX34" s="132" t="s">
        <v>37</v>
      </c>
      <c r="BY34" s="132" t="s">
        <v>37</v>
      </c>
      <c r="BZ34" s="132" t="s">
        <v>37</v>
      </c>
      <c r="CA34" s="139"/>
      <c r="CB34" s="132">
        <v>0.7</v>
      </c>
      <c r="CC34" s="132">
        <v>0.7</v>
      </c>
      <c r="CD34" s="132">
        <v>0.7</v>
      </c>
      <c r="CE34" s="132">
        <v>0.7</v>
      </c>
      <c r="CF34" s="132">
        <v>0</v>
      </c>
      <c r="CG34" s="132">
        <v>0.7</v>
      </c>
      <c r="CH34" s="132">
        <v>0.7</v>
      </c>
      <c r="CI34" s="132">
        <v>0.7</v>
      </c>
      <c r="CJ34" s="132">
        <v>0.7</v>
      </c>
      <c r="CK34" s="139"/>
      <c r="CL34" s="132">
        <v>0.7</v>
      </c>
      <c r="CM34" s="132">
        <v>0.7</v>
      </c>
      <c r="CN34" s="132">
        <v>0.7</v>
      </c>
      <c r="CO34" s="132">
        <v>0</v>
      </c>
      <c r="CP34" s="132">
        <v>0.7</v>
      </c>
      <c r="CQ34" s="132">
        <v>0.7</v>
      </c>
      <c r="CR34" s="132">
        <v>0.7</v>
      </c>
      <c r="CS34" s="132">
        <v>0</v>
      </c>
      <c r="CT34" s="132">
        <v>0</v>
      </c>
      <c r="CU34" s="132" t="s">
        <v>37</v>
      </c>
      <c r="CV34" s="132">
        <v>0.7</v>
      </c>
      <c r="CW34" s="132">
        <v>0</v>
      </c>
      <c r="CX34" s="132">
        <v>0.7</v>
      </c>
      <c r="CY34" s="139"/>
      <c r="CZ34" s="109">
        <v>0.7</v>
      </c>
      <c r="DA34" s="109" t="s">
        <v>37</v>
      </c>
      <c r="DB34" s="133" t="s">
        <v>37</v>
      </c>
      <c r="DC34" s="109">
        <v>0</v>
      </c>
      <c r="DD34" s="132">
        <v>0</v>
      </c>
      <c r="DE34" s="132">
        <v>0</v>
      </c>
      <c r="DF34" s="132">
        <v>0</v>
      </c>
      <c r="DG34" s="132">
        <v>0.7</v>
      </c>
      <c r="DH34" s="132">
        <v>0.7</v>
      </c>
      <c r="DI34" s="132">
        <v>0.7</v>
      </c>
      <c r="DJ34" s="132">
        <v>0.7</v>
      </c>
      <c r="DK34" s="132">
        <v>0.7</v>
      </c>
      <c r="DL34" s="149">
        <v>0.7</v>
      </c>
      <c r="DM34" s="139"/>
      <c r="DN34" s="132">
        <v>0.7</v>
      </c>
      <c r="DO34" s="132">
        <v>0.7</v>
      </c>
      <c r="DP34" s="109" t="s">
        <v>37</v>
      </c>
      <c r="DQ34" s="133" t="s">
        <v>37</v>
      </c>
      <c r="DR34" s="109" t="s">
        <v>37</v>
      </c>
      <c r="DS34" s="133" t="s">
        <v>37</v>
      </c>
      <c r="DT34" s="132">
        <v>0.7</v>
      </c>
      <c r="DU34" s="132">
        <v>0.7</v>
      </c>
      <c r="DV34" s="132">
        <v>0.7</v>
      </c>
      <c r="DW34" s="132">
        <v>0</v>
      </c>
      <c r="DX34" s="132">
        <v>0</v>
      </c>
      <c r="DY34" s="132">
        <v>0</v>
      </c>
      <c r="DZ34" s="132">
        <v>0</v>
      </c>
      <c r="EA34" s="132">
        <v>0</v>
      </c>
      <c r="EB34" s="5">
        <f t="shared" si="8"/>
        <v>33.349999999999987</v>
      </c>
      <c r="EC34" s="5">
        <v>4</v>
      </c>
      <c r="ED34" s="5">
        <f t="shared" ref="ED34:ED35" si="22">EC34*8</f>
        <v>32</v>
      </c>
      <c r="EE34" s="7">
        <f t="shared" ref="EE34:EE35" si="23">ED34-EB34</f>
        <v>-1.3499999999999872</v>
      </c>
      <c r="EF34" s="40" t="str">
        <f t="shared" ref="EF34:EF35" si="24">IF(EE34&gt;0, "","NO")</f>
        <v>NO</v>
      </c>
      <c r="EG34" s="41" t="str">
        <f t="shared" si="9"/>
        <v>محمد علي بريبش</v>
      </c>
    </row>
    <row r="35" spans="1:137" x14ac:dyDescent="0.25">
      <c r="A35" s="129" t="s">
        <v>161</v>
      </c>
      <c r="B35" s="129"/>
      <c r="C35" s="130">
        <v>29</v>
      </c>
      <c r="D35" s="131">
        <v>45814</v>
      </c>
      <c r="E35" s="132" t="s">
        <v>37</v>
      </c>
      <c r="F35" s="132" t="s">
        <v>37</v>
      </c>
      <c r="G35" s="132" t="s">
        <v>37</v>
      </c>
      <c r="H35" s="132" t="s">
        <v>37</v>
      </c>
      <c r="I35" s="132" t="s">
        <v>37</v>
      </c>
      <c r="J35" s="132" t="s">
        <v>37</v>
      </c>
      <c r="K35" s="132" t="s">
        <v>37</v>
      </c>
      <c r="L35" s="132" t="s">
        <v>37</v>
      </c>
      <c r="M35" s="139"/>
      <c r="N35" s="132" t="s">
        <v>37</v>
      </c>
      <c r="O35" s="132" t="s">
        <v>37</v>
      </c>
      <c r="P35" s="132" t="s">
        <v>37</v>
      </c>
      <c r="Q35" s="132" t="s">
        <v>37</v>
      </c>
      <c r="R35" s="132" t="s">
        <v>37</v>
      </c>
      <c r="S35" s="132" t="s">
        <v>37</v>
      </c>
      <c r="T35" s="132" t="s">
        <v>37</v>
      </c>
      <c r="U35" s="132" t="s">
        <v>37</v>
      </c>
      <c r="V35" s="139"/>
      <c r="W35" s="132" t="s">
        <v>37</v>
      </c>
      <c r="X35" s="132" t="s">
        <v>37</v>
      </c>
      <c r="Y35" s="132" t="s">
        <v>37</v>
      </c>
      <c r="Z35" s="132" t="s">
        <v>37</v>
      </c>
      <c r="AA35" s="132" t="s">
        <v>37</v>
      </c>
      <c r="AB35" s="132" t="s">
        <v>37</v>
      </c>
      <c r="AC35" s="132" t="s">
        <v>37</v>
      </c>
      <c r="AD35" s="132" t="s">
        <v>37</v>
      </c>
      <c r="AE35" s="132" t="s">
        <v>37</v>
      </c>
      <c r="AF35" s="139"/>
      <c r="AG35" s="132" t="s">
        <v>37</v>
      </c>
      <c r="AH35" s="132" t="s">
        <v>37</v>
      </c>
      <c r="AI35" s="132" t="s">
        <v>37</v>
      </c>
      <c r="AJ35" s="132" t="s">
        <v>37</v>
      </c>
      <c r="AK35" s="132" t="s">
        <v>37</v>
      </c>
      <c r="AL35" s="132" t="s">
        <v>37</v>
      </c>
      <c r="AM35" s="132" t="s">
        <v>37</v>
      </c>
      <c r="AN35" s="132" t="s">
        <v>37</v>
      </c>
      <c r="AO35" s="132" t="s">
        <v>37</v>
      </c>
      <c r="AP35" s="139"/>
      <c r="AQ35" s="132" t="s">
        <v>37</v>
      </c>
      <c r="AR35" s="132" t="s">
        <v>37</v>
      </c>
      <c r="AS35" s="132" t="s">
        <v>37</v>
      </c>
      <c r="AT35" s="132" t="s">
        <v>37</v>
      </c>
      <c r="AU35" s="132" t="s">
        <v>37</v>
      </c>
      <c r="AV35" s="132">
        <v>1</v>
      </c>
      <c r="AW35" s="132">
        <v>1</v>
      </c>
      <c r="AX35" s="132">
        <v>1</v>
      </c>
      <c r="AY35" s="132">
        <v>0</v>
      </c>
      <c r="AZ35" s="132">
        <v>1</v>
      </c>
      <c r="BA35" s="139"/>
      <c r="BB35" s="132">
        <v>0.75</v>
      </c>
      <c r="BC35" s="132">
        <v>0.75</v>
      </c>
      <c r="BD35" s="132">
        <v>0.75</v>
      </c>
      <c r="BE35" s="132">
        <v>0.75</v>
      </c>
      <c r="BF35" s="132">
        <v>0.75</v>
      </c>
      <c r="BG35" s="132">
        <v>0.75</v>
      </c>
      <c r="BH35" s="132">
        <v>0.75</v>
      </c>
      <c r="BI35" s="132">
        <v>0.75</v>
      </c>
      <c r="BJ35" s="132">
        <v>0</v>
      </c>
      <c r="BK35" s="132">
        <v>0.75</v>
      </c>
      <c r="BL35" s="132">
        <v>0</v>
      </c>
      <c r="BM35" s="132">
        <v>0.75</v>
      </c>
      <c r="BN35" s="132">
        <v>0.75</v>
      </c>
      <c r="BO35" s="132">
        <v>0</v>
      </c>
      <c r="BP35" s="139"/>
      <c r="BQ35" s="132">
        <v>0</v>
      </c>
      <c r="BR35" s="132">
        <v>0</v>
      </c>
      <c r="BS35" s="132">
        <v>0</v>
      </c>
      <c r="BT35" s="132" t="s">
        <v>37</v>
      </c>
      <c r="BU35" s="132" t="s">
        <v>37</v>
      </c>
      <c r="BV35" s="132" t="s">
        <v>37</v>
      </c>
      <c r="BW35" s="132" t="s">
        <v>37</v>
      </c>
      <c r="BX35" s="132" t="s">
        <v>37</v>
      </c>
      <c r="BY35" s="132" t="s">
        <v>37</v>
      </c>
      <c r="BZ35" s="132" t="s">
        <v>37</v>
      </c>
      <c r="CA35" s="139"/>
      <c r="CB35" s="132">
        <v>0.7</v>
      </c>
      <c r="CC35" s="132">
        <v>0.7</v>
      </c>
      <c r="CD35" s="132">
        <v>0.7</v>
      </c>
      <c r="CE35" s="132">
        <v>0.7</v>
      </c>
      <c r="CF35" s="132">
        <v>0</v>
      </c>
      <c r="CG35" s="132">
        <v>0.7</v>
      </c>
      <c r="CH35" s="132">
        <v>0.7</v>
      </c>
      <c r="CI35" s="132">
        <v>0.7</v>
      </c>
      <c r="CJ35" s="132">
        <v>0.7</v>
      </c>
      <c r="CK35" s="139"/>
      <c r="CL35" s="132">
        <v>0.7</v>
      </c>
      <c r="CM35" s="132">
        <v>0.7</v>
      </c>
      <c r="CN35" s="132">
        <v>0.7</v>
      </c>
      <c r="CO35" s="132">
        <v>0</v>
      </c>
      <c r="CP35" s="132">
        <v>0</v>
      </c>
      <c r="CQ35" s="132">
        <v>0.7</v>
      </c>
      <c r="CR35" s="132">
        <v>0</v>
      </c>
      <c r="CS35" s="132">
        <v>0</v>
      </c>
      <c r="CT35" s="132">
        <v>0</v>
      </c>
      <c r="CU35" s="132" t="s">
        <v>37</v>
      </c>
      <c r="CV35" s="132">
        <v>0.7</v>
      </c>
      <c r="CW35" s="132">
        <v>0</v>
      </c>
      <c r="CX35" s="132">
        <v>0.7</v>
      </c>
      <c r="CY35" s="139"/>
      <c r="CZ35" s="109">
        <v>0.7</v>
      </c>
      <c r="DA35" s="109" t="s">
        <v>37</v>
      </c>
      <c r="DB35" s="133" t="s">
        <v>37</v>
      </c>
      <c r="DC35" s="109">
        <v>0</v>
      </c>
      <c r="DD35" s="132">
        <v>0</v>
      </c>
      <c r="DE35" s="132">
        <v>0</v>
      </c>
      <c r="DF35" s="132">
        <v>0</v>
      </c>
      <c r="DG35" s="132">
        <v>0.7</v>
      </c>
      <c r="DH35" s="132">
        <v>0.7</v>
      </c>
      <c r="DI35" s="132">
        <v>0.7</v>
      </c>
      <c r="DJ35" s="132">
        <v>0.7</v>
      </c>
      <c r="DK35" s="132">
        <v>0.7</v>
      </c>
      <c r="DL35" s="149">
        <v>0.7</v>
      </c>
      <c r="DM35" s="139"/>
      <c r="DN35" s="132">
        <v>0.7</v>
      </c>
      <c r="DO35" s="132">
        <v>0.7</v>
      </c>
      <c r="DP35" s="109" t="s">
        <v>37</v>
      </c>
      <c r="DQ35" s="133" t="s">
        <v>37</v>
      </c>
      <c r="DR35" s="109" t="s">
        <v>37</v>
      </c>
      <c r="DS35" s="133" t="s">
        <v>37</v>
      </c>
      <c r="DT35" s="132">
        <v>0.7</v>
      </c>
      <c r="DU35" s="132">
        <v>0.7</v>
      </c>
      <c r="DV35" s="132">
        <v>0.7</v>
      </c>
      <c r="DW35" s="132">
        <v>0.7</v>
      </c>
      <c r="DX35" s="132">
        <v>0</v>
      </c>
      <c r="DY35" s="132">
        <v>0</v>
      </c>
      <c r="DZ35" s="132">
        <v>0</v>
      </c>
      <c r="EA35" s="132">
        <v>0</v>
      </c>
      <c r="EB35" s="5">
        <f t="shared" si="8"/>
        <v>31.149999999999981</v>
      </c>
      <c r="EC35" s="5">
        <v>4</v>
      </c>
      <c r="ED35" s="5">
        <f t="shared" si="22"/>
        <v>32</v>
      </c>
      <c r="EE35" s="7">
        <f t="shared" si="23"/>
        <v>0.85000000000001918</v>
      </c>
      <c r="EF35" s="40" t="str">
        <f t="shared" si="24"/>
        <v/>
      </c>
      <c r="EG35" s="41" t="str">
        <f t="shared" si="9"/>
        <v/>
      </c>
    </row>
    <row r="36" spans="1:137" x14ac:dyDescent="0.25">
      <c r="A36" s="129" t="s">
        <v>168</v>
      </c>
      <c r="B36" s="129"/>
      <c r="C36" s="130">
        <v>30</v>
      </c>
      <c r="D36" s="131">
        <v>45834</v>
      </c>
      <c r="E36" s="132" t="s">
        <v>37</v>
      </c>
      <c r="F36" s="132" t="s">
        <v>37</v>
      </c>
      <c r="G36" s="132" t="s">
        <v>37</v>
      </c>
      <c r="H36" s="132" t="s">
        <v>37</v>
      </c>
      <c r="I36" s="132" t="s">
        <v>37</v>
      </c>
      <c r="J36" s="132" t="s">
        <v>37</v>
      </c>
      <c r="K36" s="132" t="s">
        <v>37</v>
      </c>
      <c r="L36" s="132" t="s">
        <v>37</v>
      </c>
      <c r="M36" s="139"/>
      <c r="N36" s="132" t="s">
        <v>37</v>
      </c>
      <c r="O36" s="132" t="s">
        <v>37</v>
      </c>
      <c r="P36" s="132" t="s">
        <v>37</v>
      </c>
      <c r="Q36" s="132" t="s">
        <v>37</v>
      </c>
      <c r="R36" s="132" t="s">
        <v>37</v>
      </c>
      <c r="S36" s="132" t="s">
        <v>37</v>
      </c>
      <c r="T36" s="132" t="s">
        <v>37</v>
      </c>
      <c r="U36" s="132" t="s">
        <v>37</v>
      </c>
      <c r="V36" s="139"/>
      <c r="W36" s="132" t="s">
        <v>37</v>
      </c>
      <c r="X36" s="132" t="s">
        <v>37</v>
      </c>
      <c r="Y36" s="132" t="s">
        <v>37</v>
      </c>
      <c r="Z36" s="132" t="s">
        <v>37</v>
      </c>
      <c r="AA36" s="132" t="s">
        <v>37</v>
      </c>
      <c r="AB36" s="132" t="s">
        <v>37</v>
      </c>
      <c r="AC36" s="132" t="s">
        <v>37</v>
      </c>
      <c r="AD36" s="132" t="s">
        <v>37</v>
      </c>
      <c r="AE36" s="132" t="s">
        <v>37</v>
      </c>
      <c r="AF36" s="139"/>
      <c r="AG36" s="132" t="s">
        <v>37</v>
      </c>
      <c r="AH36" s="132" t="s">
        <v>37</v>
      </c>
      <c r="AI36" s="132" t="s">
        <v>37</v>
      </c>
      <c r="AJ36" s="132" t="s">
        <v>37</v>
      </c>
      <c r="AK36" s="132" t="s">
        <v>37</v>
      </c>
      <c r="AL36" s="132" t="s">
        <v>37</v>
      </c>
      <c r="AM36" s="132" t="s">
        <v>37</v>
      </c>
      <c r="AN36" s="132" t="s">
        <v>37</v>
      </c>
      <c r="AO36" s="132" t="s">
        <v>37</v>
      </c>
      <c r="AP36" s="139"/>
      <c r="AQ36" s="132" t="s">
        <v>37</v>
      </c>
      <c r="AR36" s="132" t="s">
        <v>37</v>
      </c>
      <c r="AS36" s="132" t="s">
        <v>37</v>
      </c>
      <c r="AT36" s="132" t="s">
        <v>37</v>
      </c>
      <c r="AU36" s="132" t="s">
        <v>37</v>
      </c>
      <c r="AV36" s="132" t="s">
        <v>37</v>
      </c>
      <c r="AW36" s="132">
        <v>1</v>
      </c>
      <c r="AX36" s="132">
        <v>1</v>
      </c>
      <c r="AY36" s="132">
        <v>1</v>
      </c>
      <c r="AZ36" s="132">
        <v>0</v>
      </c>
      <c r="BA36" s="139"/>
      <c r="BB36" s="132">
        <v>0.75</v>
      </c>
      <c r="BC36" s="132">
        <v>0</v>
      </c>
      <c r="BD36" s="132">
        <v>0.75</v>
      </c>
      <c r="BE36" s="132">
        <v>0.75</v>
      </c>
      <c r="BF36" s="132">
        <v>0.75</v>
      </c>
      <c r="BG36" s="132">
        <v>0.75</v>
      </c>
      <c r="BH36" s="132">
        <v>0.75</v>
      </c>
      <c r="BI36" s="132">
        <v>0</v>
      </c>
      <c r="BJ36" s="132">
        <v>0.75</v>
      </c>
      <c r="BK36" s="132">
        <v>0.75</v>
      </c>
      <c r="BL36" s="132">
        <v>0</v>
      </c>
      <c r="BM36" s="132">
        <v>0</v>
      </c>
      <c r="BN36" s="132">
        <v>0.75</v>
      </c>
      <c r="BO36" s="132">
        <v>0.75</v>
      </c>
      <c r="BP36" s="139"/>
      <c r="BQ36" s="132">
        <v>0.75</v>
      </c>
      <c r="BR36" s="132">
        <v>0.75</v>
      </c>
      <c r="BS36" s="132">
        <v>0.75</v>
      </c>
      <c r="BT36" s="132" t="s">
        <v>37</v>
      </c>
      <c r="BU36" s="132" t="s">
        <v>37</v>
      </c>
      <c r="BV36" s="132" t="s">
        <v>37</v>
      </c>
      <c r="BW36" s="132" t="s">
        <v>37</v>
      </c>
      <c r="BX36" s="132" t="s">
        <v>37</v>
      </c>
      <c r="BY36" s="132" t="s">
        <v>37</v>
      </c>
      <c r="BZ36" s="132" t="s">
        <v>37</v>
      </c>
      <c r="CA36" s="139"/>
      <c r="CB36" s="132">
        <v>0</v>
      </c>
      <c r="CC36" s="132">
        <v>0.7</v>
      </c>
      <c r="CD36" s="132">
        <v>0.7</v>
      </c>
      <c r="CE36" s="132">
        <v>0.7</v>
      </c>
      <c r="CF36" s="132">
        <v>0.7</v>
      </c>
      <c r="CG36" s="132">
        <v>0.7</v>
      </c>
      <c r="CH36" s="132">
        <v>0.7</v>
      </c>
      <c r="CI36" s="132">
        <v>0.7</v>
      </c>
      <c r="CJ36" s="132">
        <v>0</v>
      </c>
      <c r="CK36" s="139"/>
      <c r="CL36" s="132">
        <v>0.7</v>
      </c>
      <c r="CM36" s="132">
        <v>0.7</v>
      </c>
      <c r="CN36" s="132">
        <v>0.7</v>
      </c>
      <c r="CO36" s="132">
        <v>0.7</v>
      </c>
      <c r="CP36" s="132">
        <v>0.7</v>
      </c>
      <c r="CQ36" s="132">
        <v>0.7</v>
      </c>
      <c r="CR36" s="132">
        <v>0.7</v>
      </c>
      <c r="CS36" s="132">
        <v>0.7</v>
      </c>
      <c r="CT36" s="132">
        <v>0.7</v>
      </c>
      <c r="CU36" s="132" t="s">
        <v>37</v>
      </c>
      <c r="CV36" s="132">
        <v>0.7</v>
      </c>
      <c r="CW36" s="132">
        <v>0</v>
      </c>
      <c r="CX36" s="132">
        <v>0.7</v>
      </c>
      <c r="CY36" s="139"/>
      <c r="CZ36" s="109">
        <v>0</v>
      </c>
      <c r="DA36" s="109" t="s">
        <v>37</v>
      </c>
      <c r="DB36" s="133" t="s">
        <v>37</v>
      </c>
      <c r="DC36" s="109">
        <v>0.7</v>
      </c>
      <c r="DD36" s="132">
        <v>0.7</v>
      </c>
      <c r="DE36" s="132">
        <v>0.7</v>
      </c>
      <c r="DF36" s="132">
        <v>0.7</v>
      </c>
      <c r="DG36" s="132">
        <v>0.7</v>
      </c>
      <c r="DH36" s="132">
        <v>0.7</v>
      </c>
      <c r="DI36" s="132">
        <v>0.7</v>
      </c>
      <c r="DJ36" s="132">
        <v>0</v>
      </c>
      <c r="DK36" s="132">
        <v>0</v>
      </c>
      <c r="DL36" s="149"/>
      <c r="DM36" s="139"/>
      <c r="DN36" s="132">
        <v>0</v>
      </c>
      <c r="DO36" s="132">
        <v>0.7</v>
      </c>
      <c r="DP36" s="109" t="s">
        <v>37</v>
      </c>
      <c r="DQ36" s="133" t="s">
        <v>37</v>
      </c>
      <c r="DR36" s="109" t="s">
        <v>37</v>
      </c>
      <c r="DS36" s="133" t="s">
        <v>37</v>
      </c>
      <c r="DT36" s="132">
        <v>0</v>
      </c>
      <c r="DU36" s="132">
        <v>0</v>
      </c>
      <c r="DV36" s="132">
        <v>0</v>
      </c>
      <c r="DW36" s="132">
        <v>0</v>
      </c>
      <c r="DX36" s="132">
        <v>0</v>
      </c>
      <c r="DY36" s="132">
        <v>0</v>
      </c>
      <c r="DZ36" s="132">
        <v>0.7</v>
      </c>
      <c r="EA36" s="132">
        <v>0.7</v>
      </c>
      <c r="EB36" s="5">
        <f t="shared" si="8"/>
        <v>32.34999999999998</v>
      </c>
      <c r="EC36" s="5">
        <v>5</v>
      </c>
      <c r="ED36" s="5">
        <f t="shared" ref="ED36:ED38" si="25">EC36*8</f>
        <v>40</v>
      </c>
      <c r="EE36" s="7">
        <f t="shared" ref="EE36:EE38" si="26">ED36-EB36</f>
        <v>7.6500000000000199</v>
      </c>
      <c r="EF36" s="40" t="str">
        <f t="shared" ref="EF36:EF38" si="27">IF(EE36&gt;0, "","NO")</f>
        <v/>
      </c>
      <c r="EG36" s="41" t="str">
        <f t="shared" si="9"/>
        <v/>
      </c>
    </row>
    <row r="37" spans="1:137" x14ac:dyDescent="0.25">
      <c r="A37" s="129" t="s">
        <v>169</v>
      </c>
      <c r="B37" s="129"/>
      <c r="C37" s="130">
        <v>31</v>
      </c>
      <c r="D37" s="131">
        <v>45834</v>
      </c>
      <c r="E37" s="132" t="s">
        <v>37</v>
      </c>
      <c r="F37" s="132" t="s">
        <v>37</v>
      </c>
      <c r="G37" s="132" t="s">
        <v>37</v>
      </c>
      <c r="H37" s="132" t="s">
        <v>37</v>
      </c>
      <c r="I37" s="132" t="s">
        <v>37</v>
      </c>
      <c r="J37" s="132" t="s">
        <v>37</v>
      </c>
      <c r="K37" s="132" t="s">
        <v>37</v>
      </c>
      <c r="L37" s="132" t="s">
        <v>37</v>
      </c>
      <c r="M37" s="139"/>
      <c r="N37" s="132" t="s">
        <v>37</v>
      </c>
      <c r="O37" s="132" t="s">
        <v>37</v>
      </c>
      <c r="P37" s="132" t="s">
        <v>37</v>
      </c>
      <c r="Q37" s="132" t="s">
        <v>37</v>
      </c>
      <c r="R37" s="132" t="s">
        <v>37</v>
      </c>
      <c r="S37" s="132" t="s">
        <v>37</v>
      </c>
      <c r="T37" s="132" t="s">
        <v>37</v>
      </c>
      <c r="U37" s="132" t="s">
        <v>37</v>
      </c>
      <c r="V37" s="139"/>
      <c r="W37" s="132" t="s">
        <v>37</v>
      </c>
      <c r="X37" s="132" t="s">
        <v>37</v>
      </c>
      <c r="Y37" s="132" t="s">
        <v>37</v>
      </c>
      <c r="Z37" s="132" t="s">
        <v>37</v>
      </c>
      <c r="AA37" s="132" t="s">
        <v>37</v>
      </c>
      <c r="AB37" s="132" t="s">
        <v>37</v>
      </c>
      <c r="AC37" s="132" t="s">
        <v>37</v>
      </c>
      <c r="AD37" s="132" t="s">
        <v>37</v>
      </c>
      <c r="AE37" s="132" t="s">
        <v>37</v>
      </c>
      <c r="AF37" s="139"/>
      <c r="AG37" s="132" t="s">
        <v>37</v>
      </c>
      <c r="AH37" s="132" t="s">
        <v>37</v>
      </c>
      <c r="AI37" s="132" t="s">
        <v>37</v>
      </c>
      <c r="AJ37" s="132" t="s">
        <v>37</v>
      </c>
      <c r="AK37" s="132" t="s">
        <v>37</v>
      </c>
      <c r="AL37" s="132" t="s">
        <v>37</v>
      </c>
      <c r="AM37" s="132" t="s">
        <v>37</v>
      </c>
      <c r="AN37" s="132" t="s">
        <v>37</v>
      </c>
      <c r="AO37" s="132" t="s">
        <v>37</v>
      </c>
      <c r="AP37" s="139"/>
      <c r="AQ37" s="132" t="s">
        <v>37</v>
      </c>
      <c r="AR37" s="132" t="s">
        <v>37</v>
      </c>
      <c r="AS37" s="132" t="s">
        <v>37</v>
      </c>
      <c r="AT37" s="132" t="s">
        <v>37</v>
      </c>
      <c r="AU37" s="132" t="s">
        <v>37</v>
      </c>
      <c r="AV37" s="132" t="s">
        <v>37</v>
      </c>
      <c r="AW37" s="132">
        <v>1</v>
      </c>
      <c r="AX37" s="132">
        <v>1</v>
      </c>
      <c r="AY37" s="132">
        <v>1</v>
      </c>
      <c r="AZ37" s="132">
        <v>0</v>
      </c>
      <c r="BA37" s="139"/>
      <c r="BB37" s="132">
        <v>0.75</v>
      </c>
      <c r="BC37" s="132">
        <v>0.75</v>
      </c>
      <c r="BD37" s="132">
        <v>0.75</v>
      </c>
      <c r="BE37" s="132">
        <v>0.75</v>
      </c>
      <c r="BF37" s="132">
        <v>0.75</v>
      </c>
      <c r="BG37" s="132">
        <v>0.75</v>
      </c>
      <c r="BH37" s="132">
        <v>0.75</v>
      </c>
      <c r="BI37" s="132">
        <v>0</v>
      </c>
      <c r="BJ37" s="132">
        <v>0.75</v>
      </c>
      <c r="BK37" s="132">
        <v>0.75</v>
      </c>
      <c r="BL37" s="132">
        <v>0</v>
      </c>
      <c r="BM37" s="132">
        <v>0</v>
      </c>
      <c r="BN37" s="132">
        <v>0.75</v>
      </c>
      <c r="BO37" s="132">
        <v>0.75</v>
      </c>
      <c r="BP37" s="139"/>
      <c r="BQ37" s="132">
        <v>0.75</v>
      </c>
      <c r="BR37" s="132">
        <v>0.75800000000000001</v>
      </c>
      <c r="BS37" s="132">
        <v>0.75</v>
      </c>
      <c r="BT37" s="132" t="s">
        <v>37</v>
      </c>
      <c r="BU37" s="132" t="s">
        <v>37</v>
      </c>
      <c r="BV37" s="132" t="s">
        <v>37</v>
      </c>
      <c r="BW37" s="132" t="s">
        <v>37</v>
      </c>
      <c r="BX37" s="132" t="s">
        <v>37</v>
      </c>
      <c r="BY37" s="132" t="s">
        <v>37</v>
      </c>
      <c r="BZ37" s="132" t="s">
        <v>37</v>
      </c>
      <c r="CA37" s="139"/>
      <c r="CB37" s="132">
        <v>0</v>
      </c>
      <c r="CC37" s="132">
        <v>0.7</v>
      </c>
      <c r="CD37" s="132">
        <v>0</v>
      </c>
      <c r="CE37" s="132">
        <v>0.7</v>
      </c>
      <c r="CF37" s="132">
        <v>0.7</v>
      </c>
      <c r="CG37" s="132">
        <v>0.7</v>
      </c>
      <c r="CH37" s="132">
        <v>0.7</v>
      </c>
      <c r="CI37" s="132">
        <v>0.7</v>
      </c>
      <c r="CJ37" s="132">
        <v>0</v>
      </c>
      <c r="CK37" s="139"/>
      <c r="CL37" s="132">
        <v>0.7</v>
      </c>
      <c r="CM37" s="132">
        <v>0.7</v>
      </c>
      <c r="CN37" s="132">
        <v>0.7</v>
      </c>
      <c r="CO37" s="132">
        <v>0.7</v>
      </c>
      <c r="CP37" s="132">
        <v>0.7</v>
      </c>
      <c r="CQ37" s="132">
        <v>0.7</v>
      </c>
      <c r="CR37" s="132">
        <v>0.7</v>
      </c>
      <c r="CS37" s="132">
        <v>0</v>
      </c>
      <c r="CT37" s="132">
        <v>0.7</v>
      </c>
      <c r="CU37" s="132" t="s">
        <v>37</v>
      </c>
      <c r="CV37" s="132">
        <v>0.7</v>
      </c>
      <c r="CW37" s="132">
        <v>0.7</v>
      </c>
      <c r="CX37" s="132">
        <v>0.7</v>
      </c>
      <c r="CY37" s="139"/>
      <c r="CZ37" s="109">
        <v>0.7</v>
      </c>
      <c r="DA37" s="109" t="s">
        <v>37</v>
      </c>
      <c r="DB37" s="133" t="s">
        <v>37</v>
      </c>
      <c r="DC37" s="109">
        <v>0.7</v>
      </c>
      <c r="DD37" s="132">
        <v>0.7</v>
      </c>
      <c r="DE37" s="132">
        <v>0.7</v>
      </c>
      <c r="DF37" s="132">
        <v>0.7</v>
      </c>
      <c r="DG37" s="132">
        <v>0.7</v>
      </c>
      <c r="DH37" s="132">
        <v>0.7</v>
      </c>
      <c r="DI37" s="132">
        <v>0.7</v>
      </c>
      <c r="DJ37" s="132">
        <v>0</v>
      </c>
      <c r="DK37" s="132">
        <v>0</v>
      </c>
      <c r="DL37" s="149"/>
      <c r="DM37" s="139"/>
      <c r="DN37" s="132">
        <v>0.7</v>
      </c>
      <c r="DO37" s="132">
        <v>0.7</v>
      </c>
      <c r="DP37" s="109" t="s">
        <v>37</v>
      </c>
      <c r="DQ37" s="133" t="s">
        <v>37</v>
      </c>
      <c r="DR37" s="109" t="s">
        <v>37</v>
      </c>
      <c r="DS37" s="133" t="s">
        <v>37</v>
      </c>
      <c r="DT37" s="132">
        <v>0.7</v>
      </c>
      <c r="DU37" s="132">
        <v>0</v>
      </c>
      <c r="DV37" s="132">
        <v>0</v>
      </c>
      <c r="DW37" s="132">
        <v>0</v>
      </c>
      <c r="DX37" s="132">
        <v>0.7</v>
      </c>
      <c r="DY37" s="132">
        <v>0</v>
      </c>
      <c r="DZ37" s="132">
        <v>0.7</v>
      </c>
      <c r="EA37" s="132">
        <v>0.7</v>
      </c>
      <c r="EB37" s="5">
        <f t="shared" si="8"/>
        <v>35.207999999999991</v>
      </c>
      <c r="EC37" s="5">
        <v>5</v>
      </c>
      <c r="ED37" s="5">
        <f t="shared" si="25"/>
        <v>40</v>
      </c>
      <c r="EE37" s="7">
        <f t="shared" si="26"/>
        <v>4.7920000000000087</v>
      </c>
      <c r="EF37" s="40" t="str">
        <f t="shared" si="27"/>
        <v/>
      </c>
      <c r="EG37" s="41" t="str">
        <f t="shared" si="9"/>
        <v/>
      </c>
    </row>
    <row r="38" spans="1:137" x14ac:dyDescent="0.25">
      <c r="A38" s="129" t="s">
        <v>170</v>
      </c>
      <c r="B38" s="129"/>
      <c r="C38" s="130">
        <v>32</v>
      </c>
      <c r="D38" s="131">
        <v>45830</v>
      </c>
      <c r="E38" s="132" t="s">
        <v>37</v>
      </c>
      <c r="F38" s="132" t="s">
        <v>37</v>
      </c>
      <c r="G38" s="132" t="s">
        <v>37</v>
      </c>
      <c r="H38" s="132" t="s">
        <v>37</v>
      </c>
      <c r="I38" s="132" t="s">
        <v>37</v>
      </c>
      <c r="J38" s="132" t="s">
        <v>37</v>
      </c>
      <c r="K38" s="132" t="s">
        <v>37</v>
      </c>
      <c r="L38" s="132" t="s">
        <v>37</v>
      </c>
      <c r="M38" s="139"/>
      <c r="N38" s="132" t="s">
        <v>37</v>
      </c>
      <c r="O38" s="132" t="s">
        <v>37</v>
      </c>
      <c r="P38" s="132" t="s">
        <v>37</v>
      </c>
      <c r="Q38" s="132" t="s">
        <v>37</v>
      </c>
      <c r="R38" s="132" t="s">
        <v>37</v>
      </c>
      <c r="S38" s="132" t="s">
        <v>37</v>
      </c>
      <c r="T38" s="132" t="s">
        <v>37</v>
      </c>
      <c r="U38" s="132" t="s">
        <v>37</v>
      </c>
      <c r="V38" s="139"/>
      <c r="W38" s="132" t="s">
        <v>37</v>
      </c>
      <c r="X38" s="132" t="s">
        <v>37</v>
      </c>
      <c r="Y38" s="132" t="s">
        <v>37</v>
      </c>
      <c r="Z38" s="132" t="s">
        <v>37</v>
      </c>
      <c r="AA38" s="132" t="s">
        <v>37</v>
      </c>
      <c r="AB38" s="132" t="s">
        <v>37</v>
      </c>
      <c r="AC38" s="132" t="s">
        <v>37</v>
      </c>
      <c r="AD38" s="132" t="s">
        <v>37</v>
      </c>
      <c r="AE38" s="132" t="s">
        <v>37</v>
      </c>
      <c r="AF38" s="139"/>
      <c r="AG38" s="132" t="s">
        <v>37</v>
      </c>
      <c r="AH38" s="132" t="s">
        <v>37</v>
      </c>
      <c r="AI38" s="132" t="s">
        <v>37</v>
      </c>
      <c r="AJ38" s="132" t="s">
        <v>37</v>
      </c>
      <c r="AK38" s="132" t="s">
        <v>37</v>
      </c>
      <c r="AL38" s="132" t="s">
        <v>37</v>
      </c>
      <c r="AM38" s="132" t="s">
        <v>37</v>
      </c>
      <c r="AN38" s="132" t="s">
        <v>37</v>
      </c>
      <c r="AO38" s="132" t="s">
        <v>37</v>
      </c>
      <c r="AP38" s="139"/>
      <c r="AQ38" s="132" t="s">
        <v>37</v>
      </c>
      <c r="AR38" s="132" t="s">
        <v>37</v>
      </c>
      <c r="AS38" s="132" t="s">
        <v>37</v>
      </c>
      <c r="AT38" s="132" t="s">
        <v>37</v>
      </c>
      <c r="AU38" s="132" t="s">
        <v>37</v>
      </c>
      <c r="AV38" s="132" t="s">
        <v>37</v>
      </c>
      <c r="AW38" s="132">
        <v>1</v>
      </c>
      <c r="AX38" s="132">
        <v>1</v>
      </c>
      <c r="AY38" s="132">
        <v>1</v>
      </c>
      <c r="AZ38" s="132">
        <v>0</v>
      </c>
      <c r="BA38" s="139"/>
      <c r="BB38" s="132">
        <v>0.75</v>
      </c>
      <c r="BC38" s="132">
        <v>0.75</v>
      </c>
      <c r="BD38" s="132">
        <v>0.75</v>
      </c>
      <c r="BE38" s="132">
        <v>0</v>
      </c>
      <c r="BF38" s="132">
        <v>0.75</v>
      </c>
      <c r="BG38" s="132">
        <v>0.75</v>
      </c>
      <c r="BH38" s="132">
        <v>0.75</v>
      </c>
      <c r="BI38" s="132">
        <v>0</v>
      </c>
      <c r="BJ38" s="132">
        <v>0.75</v>
      </c>
      <c r="BK38" s="132">
        <v>0.75</v>
      </c>
      <c r="BL38" s="132">
        <v>0</v>
      </c>
      <c r="BM38" s="132">
        <v>0</v>
      </c>
      <c r="BN38" s="132">
        <v>0.75</v>
      </c>
      <c r="BO38" s="132">
        <v>0.75</v>
      </c>
      <c r="BP38" s="139"/>
      <c r="BQ38" s="132">
        <v>0.75</v>
      </c>
      <c r="BR38" s="132">
        <v>0.75</v>
      </c>
      <c r="BS38" s="132">
        <v>0.75</v>
      </c>
      <c r="BT38" s="132" t="s">
        <v>37</v>
      </c>
      <c r="BU38" s="132" t="s">
        <v>37</v>
      </c>
      <c r="BV38" s="132" t="s">
        <v>37</v>
      </c>
      <c r="BW38" s="132" t="s">
        <v>37</v>
      </c>
      <c r="BX38" s="132" t="s">
        <v>37</v>
      </c>
      <c r="BY38" s="132" t="s">
        <v>37</v>
      </c>
      <c r="BZ38" s="132" t="s">
        <v>37</v>
      </c>
      <c r="CA38" s="139"/>
      <c r="CB38" s="132">
        <v>0</v>
      </c>
      <c r="CC38" s="132">
        <v>0.7</v>
      </c>
      <c r="CD38" s="132">
        <v>0</v>
      </c>
      <c r="CE38" s="132">
        <v>0.7</v>
      </c>
      <c r="CF38" s="132">
        <v>0.7</v>
      </c>
      <c r="CG38" s="132">
        <v>0.7</v>
      </c>
      <c r="CH38" s="132">
        <v>0.7</v>
      </c>
      <c r="CI38" s="132">
        <v>0.7</v>
      </c>
      <c r="CJ38" s="132">
        <v>0</v>
      </c>
      <c r="CK38" s="139"/>
      <c r="CL38" s="132">
        <v>0.7</v>
      </c>
      <c r="CM38" s="132">
        <v>0.7</v>
      </c>
      <c r="CN38" s="132">
        <v>0.7</v>
      </c>
      <c r="CO38" s="132">
        <v>0.7</v>
      </c>
      <c r="CP38" s="132">
        <v>0.7</v>
      </c>
      <c r="CQ38" s="132">
        <v>0.7</v>
      </c>
      <c r="CR38" s="132">
        <v>0.7</v>
      </c>
      <c r="CS38" s="132">
        <v>0.7</v>
      </c>
      <c r="CT38" s="132">
        <v>0.7</v>
      </c>
      <c r="CU38" s="132" t="s">
        <v>37</v>
      </c>
      <c r="CV38" s="132">
        <v>0.7</v>
      </c>
      <c r="CW38" s="132">
        <v>0.7</v>
      </c>
      <c r="CX38" s="132">
        <v>0.7</v>
      </c>
      <c r="CY38" s="139"/>
      <c r="CZ38" s="109">
        <v>0.7</v>
      </c>
      <c r="DA38" s="109" t="s">
        <v>37</v>
      </c>
      <c r="DB38" s="133" t="s">
        <v>37</v>
      </c>
      <c r="DC38" s="109">
        <v>0.7</v>
      </c>
      <c r="DD38" s="132">
        <v>0.7</v>
      </c>
      <c r="DE38" s="132">
        <v>0.7</v>
      </c>
      <c r="DF38" s="132">
        <v>0.7</v>
      </c>
      <c r="DG38" s="132">
        <v>0.7</v>
      </c>
      <c r="DH38" s="132">
        <v>0.7</v>
      </c>
      <c r="DI38" s="132">
        <v>0.7</v>
      </c>
      <c r="DJ38" s="132">
        <v>0</v>
      </c>
      <c r="DK38" s="132">
        <v>0</v>
      </c>
      <c r="DL38" s="149"/>
      <c r="DM38" s="139"/>
      <c r="DN38" s="132">
        <v>0.7</v>
      </c>
      <c r="DO38" s="132">
        <v>0.7</v>
      </c>
      <c r="DP38" s="109" t="s">
        <v>37</v>
      </c>
      <c r="DQ38" s="133" t="s">
        <v>37</v>
      </c>
      <c r="DR38" s="109" t="s">
        <v>37</v>
      </c>
      <c r="DS38" s="133" t="s">
        <v>37</v>
      </c>
      <c r="DT38" s="132">
        <v>0.7</v>
      </c>
      <c r="DU38" s="132">
        <v>0</v>
      </c>
      <c r="DV38" s="132">
        <v>0</v>
      </c>
      <c r="DW38" s="132">
        <v>0.7</v>
      </c>
      <c r="DX38" s="132">
        <v>0.7</v>
      </c>
      <c r="DY38" s="132">
        <v>0</v>
      </c>
      <c r="DZ38" s="132">
        <v>0.7</v>
      </c>
      <c r="EA38" s="132">
        <v>0</v>
      </c>
      <c r="EB38" s="5">
        <f t="shared" si="8"/>
        <v>35.149999999999991</v>
      </c>
      <c r="EC38" s="5">
        <v>5</v>
      </c>
      <c r="ED38" s="5">
        <f t="shared" si="25"/>
        <v>40</v>
      </c>
      <c r="EE38" s="7">
        <f t="shared" si="26"/>
        <v>4.8500000000000085</v>
      </c>
      <c r="EF38" s="40" t="str">
        <f t="shared" si="27"/>
        <v/>
      </c>
      <c r="EG38" s="41" t="str">
        <f t="shared" si="9"/>
        <v/>
      </c>
    </row>
    <row r="39" spans="1:137" x14ac:dyDescent="0.25">
      <c r="A39" s="129" t="s">
        <v>182</v>
      </c>
      <c r="B39" s="129"/>
      <c r="C39" s="130">
        <v>33</v>
      </c>
      <c r="D39" s="131">
        <v>45834</v>
      </c>
      <c r="E39" s="132" t="s">
        <v>37</v>
      </c>
      <c r="F39" s="132" t="s">
        <v>37</v>
      </c>
      <c r="G39" s="132" t="s">
        <v>37</v>
      </c>
      <c r="H39" s="132" t="s">
        <v>37</v>
      </c>
      <c r="I39" s="132" t="s">
        <v>37</v>
      </c>
      <c r="J39" s="132" t="s">
        <v>37</v>
      </c>
      <c r="K39" s="132" t="s">
        <v>37</v>
      </c>
      <c r="L39" s="132" t="s">
        <v>37</v>
      </c>
      <c r="M39" s="139"/>
      <c r="N39" s="132" t="s">
        <v>37</v>
      </c>
      <c r="O39" s="132" t="s">
        <v>37</v>
      </c>
      <c r="P39" s="132" t="s">
        <v>37</v>
      </c>
      <c r="Q39" s="132" t="s">
        <v>37</v>
      </c>
      <c r="R39" s="132" t="s">
        <v>37</v>
      </c>
      <c r="S39" s="132" t="s">
        <v>37</v>
      </c>
      <c r="T39" s="132" t="s">
        <v>37</v>
      </c>
      <c r="U39" s="132" t="s">
        <v>37</v>
      </c>
      <c r="V39" s="139"/>
      <c r="W39" s="132" t="s">
        <v>37</v>
      </c>
      <c r="X39" s="132" t="s">
        <v>37</v>
      </c>
      <c r="Y39" s="132" t="s">
        <v>37</v>
      </c>
      <c r="Z39" s="132" t="s">
        <v>37</v>
      </c>
      <c r="AA39" s="132" t="s">
        <v>37</v>
      </c>
      <c r="AB39" s="132" t="s">
        <v>37</v>
      </c>
      <c r="AC39" s="132" t="s">
        <v>37</v>
      </c>
      <c r="AD39" s="132" t="s">
        <v>37</v>
      </c>
      <c r="AE39" s="132" t="s">
        <v>37</v>
      </c>
      <c r="AF39" s="139"/>
      <c r="AG39" s="132" t="s">
        <v>37</v>
      </c>
      <c r="AH39" s="132" t="s">
        <v>37</v>
      </c>
      <c r="AI39" s="132" t="s">
        <v>37</v>
      </c>
      <c r="AJ39" s="132" t="s">
        <v>37</v>
      </c>
      <c r="AK39" s="132" t="s">
        <v>37</v>
      </c>
      <c r="AL39" s="132" t="s">
        <v>37</v>
      </c>
      <c r="AM39" s="132" t="s">
        <v>37</v>
      </c>
      <c r="AN39" s="132" t="s">
        <v>37</v>
      </c>
      <c r="AO39" s="132" t="s">
        <v>37</v>
      </c>
      <c r="AP39" s="139"/>
      <c r="AQ39" s="132" t="s">
        <v>37</v>
      </c>
      <c r="AR39" s="132" t="s">
        <v>37</v>
      </c>
      <c r="AS39" s="132" t="s">
        <v>37</v>
      </c>
      <c r="AT39" s="132" t="s">
        <v>37</v>
      </c>
      <c r="AU39" s="132" t="s">
        <v>37</v>
      </c>
      <c r="AV39" s="132" t="s">
        <v>37</v>
      </c>
      <c r="AW39" s="132" t="s">
        <v>37</v>
      </c>
      <c r="AX39" s="132" t="s">
        <v>37</v>
      </c>
      <c r="AY39" s="132">
        <v>1</v>
      </c>
      <c r="AZ39" s="132">
        <v>1</v>
      </c>
      <c r="BA39" s="139"/>
      <c r="BB39" s="132">
        <v>0.75</v>
      </c>
      <c r="BC39" s="132">
        <v>0.75</v>
      </c>
      <c r="BD39" s="132">
        <v>0.75</v>
      </c>
      <c r="BE39" s="132">
        <v>0.75</v>
      </c>
      <c r="BF39" s="132">
        <v>0.75</v>
      </c>
      <c r="BG39" s="132">
        <v>0</v>
      </c>
      <c r="BH39" s="132">
        <v>0.75</v>
      </c>
      <c r="BI39" s="132">
        <v>0.75</v>
      </c>
      <c r="BJ39" s="132">
        <v>0.75</v>
      </c>
      <c r="BK39" s="132">
        <v>0.75</v>
      </c>
      <c r="BL39" s="132">
        <v>0.75</v>
      </c>
      <c r="BM39" s="132">
        <v>0.75</v>
      </c>
      <c r="BN39" s="132">
        <v>0.75</v>
      </c>
      <c r="BO39" s="132">
        <v>0.75</v>
      </c>
      <c r="BP39" s="139"/>
      <c r="BQ39" s="132">
        <v>0.75</v>
      </c>
      <c r="BR39" s="132">
        <v>0.75</v>
      </c>
      <c r="BS39" s="132">
        <v>0.75</v>
      </c>
      <c r="BT39" s="132" t="s">
        <v>37</v>
      </c>
      <c r="BU39" s="132" t="s">
        <v>37</v>
      </c>
      <c r="BV39" s="132" t="s">
        <v>37</v>
      </c>
      <c r="BW39" s="132" t="s">
        <v>37</v>
      </c>
      <c r="BX39" s="132" t="s">
        <v>37</v>
      </c>
      <c r="BY39" s="132" t="s">
        <v>37</v>
      </c>
      <c r="BZ39" s="132" t="s">
        <v>37</v>
      </c>
      <c r="CA39" s="139"/>
      <c r="CB39" s="132">
        <v>0</v>
      </c>
      <c r="CC39" s="132">
        <v>0</v>
      </c>
      <c r="CD39" s="132">
        <v>0</v>
      </c>
      <c r="CE39" s="132">
        <v>0</v>
      </c>
      <c r="CF39" s="132">
        <v>0</v>
      </c>
      <c r="CG39" s="132">
        <v>0</v>
      </c>
      <c r="CH39" s="132">
        <v>0</v>
      </c>
      <c r="CI39" s="132">
        <v>0</v>
      </c>
      <c r="CJ39" s="132">
        <v>0</v>
      </c>
      <c r="CK39" s="139"/>
      <c r="CL39" s="132">
        <v>0</v>
      </c>
      <c r="CM39" s="132">
        <v>0</v>
      </c>
      <c r="CN39" s="132">
        <v>0</v>
      </c>
      <c r="CO39" s="132">
        <v>0</v>
      </c>
      <c r="CP39" s="132">
        <v>0</v>
      </c>
      <c r="CQ39" s="132">
        <v>0.7</v>
      </c>
      <c r="CR39" s="132">
        <v>0</v>
      </c>
      <c r="CS39" s="132">
        <v>0.7</v>
      </c>
      <c r="CT39" s="132">
        <v>0.7</v>
      </c>
      <c r="CU39" s="132" t="s">
        <v>37</v>
      </c>
      <c r="CV39" s="132">
        <v>0.7</v>
      </c>
      <c r="CW39" s="132">
        <v>0</v>
      </c>
      <c r="CX39" s="132">
        <v>0</v>
      </c>
      <c r="CY39" s="139"/>
      <c r="CZ39" s="109">
        <v>0</v>
      </c>
      <c r="DA39" s="109" t="s">
        <v>37</v>
      </c>
      <c r="DB39" s="133" t="s">
        <v>37</v>
      </c>
      <c r="DC39" s="109">
        <v>0.7</v>
      </c>
      <c r="DD39" s="132">
        <v>0.7</v>
      </c>
      <c r="DE39" s="132">
        <v>0.7</v>
      </c>
      <c r="DF39" s="132">
        <v>0</v>
      </c>
      <c r="DG39" s="132">
        <v>0.7</v>
      </c>
      <c r="DH39" s="132">
        <v>0.7</v>
      </c>
      <c r="DI39" s="132">
        <v>0</v>
      </c>
      <c r="DJ39" s="132">
        <v>0.7</v>
      </c>
      <c r="DK39" s="132">
        <v>0.7</v>
      </c>
      <c r="DL39" s="132">
        <v>0.7</v>
      </c>
      <c r="DM39" s="139"/>
      <c r="DN39" s="132">
        <v>0.7</v>
      </c>
      <c r="DO39" s="132">
        <v>0.7</v>
      </c>
      <c r="DP39" s="109" t="s">
        <v>37</v>
      </c>
      <c r="DQ39" s="133" t="s">
        <v>37</v>
      </c>
      <c r="DR39" s="109" t="s">
        <v>37</v>
      </c>
      <c r="DS39" s="133" t="s">
        <v>37</v>
      </c>
      <c r="DT39" s="132">
        <v>0.7</v>
      </c>
      <c r="DU39" s="132">
        <v>0</v>
      </c>
      <c r="DV39" s="132">
        <v>0</v>
      </c>
      <c r="DW39" s="132">
        <v>0</v>
      </c>
      <c r="DX39" s="132">
        <v>0</v>
      </c>
      <c r="DY39" s="132">
        <v>0</v>
      </c>
      <c r="DZ39" s="132">
        <v>0</v>
      </c>
      <c r="EA39" s="132">
        <v>0</v>
      </c>
      <c r="EB39" s="5">
        <f t="shared" si="8"/>
        <v>24.499999999999989</v>
      </c>
      <c r="EC39" s="5">
        <v>4</v>
      </c>
      <c r="ED39" s="5">
        <f t="shared" ref="ED39" si="28">EC39*8</f>
        <v>32</v>
      </c>
      <c r="EE39" s="7">
        <f t="shared" ref="EE39" si="29">ED39-EB39</f>
        <v>7.5000000000000107</v>
      </c>
      <c r="EF39" s="40" t="str">
        <f t="shared" ref="EF39" si="30">IF(EE39&gt;0, "","NO")</f>
        <v/>
      </c>
      <c r="EG39" s="41" t="str">
        <f t="shared" si="9"/>
        <v/>
      </c>
    </row>
    <row r="40" spans="1:137" x14ac:dyDescent="0.25">
      <c r="A40" s="129" t="s">
        <v>187</v>
      </c>
      <c r="B40" s="129"/>
      <c r="C40" s="130">
        <v>34</v>
      </c>
      <c r="D40" s="131">
        <v>45844</v>
      </c>
      <c r="E40" s="132" t="s">
        <v>37</v>
      </c>
      <c r="F40" s="132" t="s">
        <v>37</v>
      </c>
      <c r="G40" s="132" t="s">
        <v>37</v>
      </c>
      <c r="H40" s="132" t="s">
        <v>37</v>
      </c>
      <c r="I40" s="132" t="s">
        <v>37</v>
      </c>
      <c r="J40" s="132" t="s">
        <v>37</v>
      </c>
      <c r="K40" s="132" t="s">
        <v>37</v>
      </c>
      <c r="L40" s="132" t="s">
        <v>37</v>
      </c>
      <c r="M40" s="139"/>
      <c r="N40" s="132" t="s">
        <v>37</v>
      </c>
      <c r="O40" s="132" t="s">
        <v>37</v>
      </c>
      <c r="P40" s="132" t="s">
        <v>37</v>
      </c>
      <c r="Q40" s="132" t="s">
        <v>37</v>
      </c>
      <c r="R40" s="132" t="s">
        <v>37</v>
      </c>
      <c r="S40" s="132" t="s">
        <v>37</v>
      </c>
      <c r="T40" s="132" t="s">
        <v>37</v>
      </c>
      <c r="U40" s="132" t="s">
        <v>37</v>
      </c>
      <c r="V40" s="139"/>
      <c r="W40" s="132" t="s">
        <v>37</v>
      </c>
      <c r="X40" s="132" t="s">
        <v>37</v>
      </c>
      <c r="Y40" s="132" t="s">
        <v>37</v>
      </c>
      <c r="Z40" s="132" t="s">
        <v>37</v>
      </c>
      <c r="AA40" s="132" t="s">
        <v>37</v>
      </c>
      <c r="AB40" s="132" t="s">
        <v>37</v>
      </c>
      <c r="AC40" s="132" t="s">
        <v>37</v>
      </c>
      <c r="AD40" s="132" t="s">
        <v>37</v>
      </c>
      <c r="AE40" s="132" t="s">
        <v>37</v>
      </c>
      <c r="AF40" s="139"/>
      <c r="AG40" s="132" t="s">
        <v>37</v>
      </c>
      <c r="AH40" s="132" t="s">
        <v>37</v>
      </c>
      <c r="AI40" s="132" t="s">
        <v>37</v>
      </c>
      <c r="AJ40" s="132" t="s">
        <v>37</v>
      </c>
      <c r="AK40" s="132" t="s">
        <v>37</v>
      </c>
      <c r="AL40" s="132" t="s">
        <v>37</v>
      </c>
      <c r="AM40" s="132" t="s">
        <v>37</v>
      </c>
      <c r="AN40" s="132" t="s">
        <v>37</v>
      </c>
      <c r="AO40" s="132" t="s">
        <v>37</v>
      </c>
      <c r="AP40" s="139"/>
      <c r="AQ40" s="132" t="s">
        <v>37</v>
      </c>
      <c r="AR40" s="132" t="s">
        <v>37</v>
      </c>
      <c r="AS40" s="132" t="s">
        <v>37</v>
      </c>
      <c r="AT40" s="132" t="s">
        <v>37</v>
      </c>
      <c r="AU40" s="132" t="s">
        <v>37</v>
      </c>
      <c r="AV40" s="132" t="s">
        <v>37</v>
      </c>
      <c r="AW40" s="132" t="s">
        <v>37</v>
      </c>
      <c r="AX40" s="132" t="s">
        <v>37</v>
      </c>
      <c r="AY40" s="132" t="s">
        <v>37</v>
      </c>
      <c r="AZ40" s="132" t="s">
        <v>37</v>
      </c>
      <c r="BA40" s="139"/>
      <c r="BB40" s="132" t="s">
        <v>37</v>
      </c>
      <c r="BC40" s="132" t="s">
        <v>37</v>
      </c>
      <c r="BD40" s="132">
        <v>0.75</v>
      </c>
      <c r="BE40" s="132">
        <v>0.75</v>
      </c>
      <c r="BF40" s="132">
        <v>0.75</v>
      </c>
      <c r="BG40" s="132">
        <v>0</v>
      </c>
      <c r="BH40" s="132">
        <v>0</v>
      </c>
      <c r="BI40" s="132">
        <v>0</v>
      </c>
      <c r="BJ40" s="132">
        <v>0.75</v>
      </c>
      <c r="BK40" s="132">
        <v>0.75</v>
      </c>
      <c r="BL40" s="132">
        <v>0.75</v>
      </c>
      <c r="BM40" s="132">
        <v>0.75</v>
      </c>
      <c r="BN40" s="132">
        <v>0.75</v>
      </c>
      <c r="BO40" s="132">
        <v>0.75</v>
      </c>
      <c r="BP40" s="139"/>
      <c r="BQ40" s="132">
        <v>0.75</v>
      </c>
      <c r="BR40" s="132">
        <v>0.75</v>
      </c>
      <c r="BS40" s="132">
        <v>0.75</v>
      </c>
      <c r="BT40" s="132" t="s">
        <v>37</v>
      </c>
      <c r="BU40" s="132" t="s">
        <v>37</v>
      </c>
      <c r="BV40" s="132" t="s">
        <v>37</v>
      </c>
      <c r="BW40" s="132" t="s">
        <v>37</v>
      </c>
      <c r="BX40" s="132" t="s">
        <v>37</v>
      </c>
      <c r="BY40" s="132" t="s">
        <v>37</v>
      </c>
      <c r="BZ40" s="132" t="s">
        <v>37</v>
      </c>
      <c r="CA40" s="139"/>
      <c r="CB40" s="132">
        <v>0</v>
      </c>
      <c r="CC40" s="132">
        <v>0</v>
      </c>
      <c r="CD40" s="132">
        <v>0.7</v>
      </c>
      <c r="CE40" s="132">
        <v>0.7</v>
      </c>
      <c r="CF40" s="132">
        <v>0.7</v>
      </c>
      <c r="CG40" s="132">
        <v>0.7</v>
      </c>
      <c r="CH40" s="132">
        <v>0.7</v>
      </c>
      <c r="CI40" s="132">
        <v>0.7</v>
      </c>
      <c r="CJ40" s="132">
        <v>0.7</v>
      </c>
      <c r="CK40" s="139"/>
      <c r="CL40" s="132">
        <v>0.7</v>
      </c>
      <c r="CM40" s="132">
        <v>0.7</v>
      </c>
      <c r="CN40" s="132">
        <v>0.7</v>
      </c>
      <c r="CO40" s="132">
        <v>0.7</v>
      </c>
      <c r="CP40" s="132">
        <v>0.7</v>
      </c>
      <c r="CQ40" s="132">
        <v>0.7</v>
      </c>
      <c r="CR40" s="132">
        <v>0.7</v>
      </c>
      <c r="CS40" s="132">
        <v>0.7</v>
      </c>
      <c r="CT40" s="132">
        <v>0.7</v>
      </c>
      <c r="CU40" s="132" t="s">
        <v>37</v>
      </c>
      <c r="CV40" s="132">
        <v>0.7</v>
      </c>
      <c r="CW40" s="132">
        <v>0.7</v>
      </c>
      <c r="CX40" s="132">
        <v>0</v>
      </c>
      <c r="CY40" s="139"/>
      <c r="CZ40" s="109">
        <v>0</v>
      </c>
      <c r="DA40" s="109" t="s">
        <v>37</v>
      </c>
      <c r="DB40" s="133" t="s">
        <v>37</v>
      </c>
      <c r="DC40" s="109">
        <v>0.7</v>
      </c>
      <c r="DD40" s="132">
        <v>0.7</v>
      </c>
      <c r="DE40" s="132">
        <v>0.7</v>
      </c>
      <c r="DF40" s="132">
        <v>0.7</v>
      </c>
      <c r="DG40" s="132">
        <v>0.7</v>
      </c>
      <c r="DH40" s="132">
        <v>0.7</v>
      </c>
      <c r="DI40" s="132">
        <v>0.7</v>
      </c>
      <c r="DJ40" s="132">
        <v>0.7</v>
      </c>
      <c r="DK40" s="132">
        <v>0.7</v>
      </c>
      <c r="DL40" s="149">
        <v>0.7</v>
      </c>
      <c r="DM40" s="139"/>
      <c r="DN40" s="132">
        <v>0.7</v>
      </c>
      <c r="DO40" s="132">
        <v>0.7</v>
      </c>
      <c r="DP40" s="109" t="s">
        <v>37</v>
      </c>
      <c r="DQ40" s="133" t="s">
        <v>37</v>
      </c>
      <c r="DR40" s="109" t="s">
        <v>37</v>
      </c>
      <c r="DS40" s="133" t="s">
        <v>37</v>
      </c>
      <c r="DT40" s="132">
        <v>0</v>
      </c>
      <c r="DU40" s="132">
        <v>0</v>
      </c>
      <c r="DV40" s="132">
        <v>0.7</v>
      </c>
      <c r="DW40" s="132">
        <v>0</v>
      </c>
      <c r="DX40" s="132">
        <v>0</v>
      </c>
      <c r="DY40" s="132">
        <v>0</v>
      </c>
      <c r="DZ40" s="132">
        <v>0</v>
      </c>
      <c r="EA40" s="132">
        <v>0</v>
      </c>
      <c r="EB40" s="5">
        <f t="shared" ref="EB40:EB50" si="31">SUM(E40:EA40)</f>
        <v>30.699999999999978</v>
      </c>
      <c r="EC40" s="5">
        <v>4</v>
      </c>
      <c r="ED40" s="5">
        <f t="shared" ref="ED40" si="32">EC40*8</f>
        <v>32</v>
      </c>
      <c r="EE40" s="128">
        <f t="shared" ref="EE40" si="33">ED40-EB40</f>
        <v>1.300000000000022</v>
      </c>
      <c r="EF40" s="40" t="str">
        <f t="shared" ref="EF40" si="34">IF(EE40&gt;0, "","NO")</f>
        <v/>
      </c>
      <c r="EG40" s="41" t="str">
        <f t="shared" ref="EG40:EG44" si="35">IF(EE40&gt;0, "", A40)</f>
        <v/>
      </c>
    </row>
    <row r="41" spans="1:137" x14ac:dyDescent="0.25">
      <c r="A41" s="129" t="s">
        <v>252</v>
      </c>
      <c r="B41" s="129"/>
      <c r="C41" s="130">
        <v>35</v>
      </c>
      <c r="D41" s="131">
        <v>45911</v>
      </c>
      <c r="E41" s="132" t="s">
        <v>37</v>
      </c>
      <c r="F41" s="132" t="s">
        <v>37</v>
      </c>
      <c r="G41" s="132" t="s">
        <v>37</v>
      </c>
      <c r="H41" s="132" t="s">
        <v>37</v>
      </c>
      <c r="I41" s="132" t="s">
        <v>37</v>
      </c>
      <c r="J41" s="132" t="s">
        <v>37</v>
      </c>
      <c r="K41" s="132" t="s">
        <v>37</v>
      </c>
      <c r="L41" s="132" t="s">
        <v>37</v>
      </c>
      <c r="M41" s="140"/>
      <c r="N41" s="132" t="s">
        <v>37</v>
      </c>
      <c r="O41" s="132" t="s">
        <v>37</v>
      </c>
      <c r="P41" s="132" t="s">
        <v>37</v>
      </c>
      <c r="Q41" s="132" t="s">
        <v>37</v>
      </c>
      <c r="R41" s="132" t="s">
        <v>37</v>
      </c>
      <c r="S41" s="132" t="s">
        <v>37</v>
      </c>
      <c r="T41" s="132" t="s">
        <v>37</v>
      </c>
      <c r="U41" s="132" t="s">
        <v>37</v>
      </c>
      <c r="V41" s="140"/>
      <c r="W41" s="132" t="s">
        <v>37</v>
      </c>
      <c r="X41" s="132" t="s">
        <v>37</v>
      </c>
      <c r="Y41" s="132" t="s">
        <v>37</v>
      </c>
      <c r="Z41" s="132" t="s">
        <v>37</v>
      </c>
      <c r="AA41" s="132" t="s">
        <v>37</v>
      </c>
      <c r="AB41" s="132" t="s">
        <v>37</v>
      </c>
      <c r="AC41" s="132" t="s">
        <v>37</v>
      </c>
      <c r="AD41" s="132" t="s">
        <v>37</v>
      </c>
      <c r="AE41" s="132" t="s">
        <v>37</v>
      </c>
      <c r="AF41" s="140"/>
      <c r="AG41" s="132" t="s">
        <v>37</v>
      </c>
      <c r="AH41" s="132" t="s">
        <v>37</v>
      </c>
      <c r="AI41" s="132" t="s">
        <v>37</v>
      </c>
      <c r="AJ41" s="132" t="s">
        <v>37</v>
      </c>
      <c r="AK41" s="132" t="s">
        <v>37</v>
      </c>
      <c r="AL41" s="132" t="s">
        <v>37</v>
      </c>
      <c r="AM41" s="132" t="s">
        <v>37</v>
      </c>
      <c r="AN41" s="132" t="s">
        <v>37</v>
      </c>
      <c r="AO41" s="132" t="s">
        <v>37</v>
      </c>
      <c r="AP41" s="140"/>
      <c r="AQ41" s="132" t="s">
        <v>37</v>
      </c>
      <c r="AR41" s="132" t="s">
        <v>37</v>
      </c>
      <c r="AS41" s="132" t="s">
        <v>37</v>
      </c>
      <c r="AT41" s="132" t="s">
        <v>37</v>
      </c>
      <c r="AU41" s="132" t="s">
        <v>37</v>
      </c>
      <c r="AV41" s="132" t="s">
        <v>37</v>
      </c>
      <c r="AW41" s="132" t="s">
        <v>37</v>
      </c>
      <c r="AX41" s="132" t="s">
        <v>37</v>
      </c>
      <c r="AY41" s="132" t="s">
        <v>37</v>
      </c>
      <c r="AZ41" s="132" t="s">
        <v>37</v>
      </c>
      <c r="BA41" s="140"/>
      <c r="BB41" s="132" t="s">
        <v>37</v>
      </c>
      <c r="BC41" s="132" t="s">
        <v>37</v>
      </c>
      <c r="BD41" s="132" t="s">
        <v>37</v>
      </c>
      <c r="BE41" s="132" t="s">
        <v>37</v>
      </c>
      <c r="BF41" s="132" t="s">
        <v>37</v>
      </c>
      <c r="BG41" s="132" t="s">
        <v>37</v>
      </c>
      <c r="BH41" s="132" t="s">
        <v>37</v>
      </c>
      <c r="BI41" s="132" t="s">
        <v>37</v>
      </c>
      <c r="BJ41" s="132" t="s">
        <v>37</v>
      </c>
      <c r="BK41" s="132" t="s">
        <v>37</v>
      </c>
      <c r="BL41" s="132" t="s">
        <v>37</v>
      </c>
      <c r="BM41" s="132" t="s">
        <v>37</v>
      </c>
      <c r="BN41" s="132" t="s">
        <v>37</v>
      </c>
      <c r="BO41" s="132" t="s">
        <v>37</v>
      </c>
      <c r="BP41" s="140"/>
      <c r="BQ41" s="132" t="s">
        <v>37</v>
      </c>
      <c r="BR41" s="132" t="s">
        <v>37</v>
      </c>
      <c r="BS41" s="132" t="s">
        <v>37</v>
      </c>
      <c r="BT41" s="132" t="s">
        <v>37</v>
      </c>
      <c r="BU41" s="132" t="s">
        <v>37</v>
      </c>
      <c r="BV41" s="132" t="s">
        <v>37</v>
      </c>
      <c r="BW41" s="132" t="s">
        <v>37</v>
      </c>
      <c r="BX41" s="132" t="s">
        <v>37</v>
      </c>
      <c r="BY41" s="132" t="s">
        <v>37</v>
      </c>
      <c r="BZ41" s="132" t="s">
        <v>37</v>
      </c>
      <c r="CA41" s="140"/>
      <c r="CB41" s="132">
        <v>0.7</v>
      </c>
      <c r="CC41" s="132">
        <v>0.7</v>
      </c>
      <c r="CD41" s="132">
        <v>0.7</v>
      </c>
      <c r="CE41" s="132">
        <v>0.7</v>
      </c>
      <c r="CF41" s="132">
        <v>0.7</v>
      </c>
      <c r="CG41" s="132">
        <v>0.7</v>
      </c>
      <c r="CH41" s="132">
        <v>0.7</v>
      </c>
      <c r="CI41" s="132">
        <v>0.7</v>
      </c>
      <c r="CJ41" s="132">
        <v>0.7</v>
      </c>
      <c r="CK41" s="140"/>
      <c r="CL41" s="132">
        <v>0.7</v>
      </c>
      <c r="CM41" s="132">
        <v>0.7</v>
      </c>
      <c r="CN41" s="132">
        <v>0.7</v>
      </c>
      <c r="CO41" s="132">
        <v>0</v>
      </c>
      <c r="CP41" s="132">
        <v>0.7</v>
      </c>
      <c r="CQ41" s="132">
        <v>0.7</v>
      </c>
      <c r="CR41" s="132">
        <v>0.7</v>
      </c>
      <c r="CS41" s="132">
        <v>0.7</v>
      </c>
      <c r="CT41" s="132">
        <v>0.7</v>
      </c>
      <c r="CU41" s="132" t="s">
        <v>37</v>
      </c>
      <c r="CV41" s="132">
        <v>0.7</v>
      </c>
      <c r="CW41" s="132">
        <v>0.7</v>
      </c>
      <c r="CX41" s="132">
        <v>0</v>
      </c>
      <c r="CY41" s="140"/>
      <c r="CZ41" s="109">
        <v>0.7</v>
      </c>
      <c r="DA41" s="109" t="s">
        <v>37</v>
      </c>
      <c r="DB41" s="133" t="s">
        <v>37</v>
      </c>
      <c r="DC41" s="109">
        <v>0</v>
      </c>
      <c r="DD41" s="132">
        <v>0</v>
      </c>
      <c r="DE41" s="132">
        <v>0</v>
      </c>
      <c r="DF41" s="132">
        <v>0.7</v>
      </c>
      <c r="DG41" s="132">
        <v>0.7</v>
      </c>
      <c r="DH41" s="132">
        <v>0.7</v>
      </c>
      <c r="DI41" s="132">
        <v>0.7</v>
      </c>
      <c r="DJ41" s="132">
        <v>0.7</v>
      </c>
      <c r="DK41" s="132">
        <v>0.7</v>
      </c>
      <c r="DL41" s="149"/>
      <c r="DM41" s="140"/>
      <c r="DN41" s="132">
        <v>0.7</v>
      </c>
      <c r="DO41" s="132">
        <v>0.7</v>
      </c>
      <c r="DP41" s="109" t="s">
        <v>37</v>
      </c>
      <c r="DQ41" s="133" t="s">
        <v>37</v>
      </c>
      <c r="DR41" s="109" t="s">
        <v>37</v>
      </c>
      <c r="DS41" s="133" t="s">
        <v>37</v>
      </c>
      <c r="DT41" s="132">
        <v>0</v>
      </c>
      <c r="DU41" s="132">
        <v>0.7</v>
      </c>
      <c r="DV41" s="132">
        <v>0.7</v>
      </c>
      <c r="DW41" s="132">
        <v>0.7</v>
      </c>
      <c r="DX41" s="132">
        <v>0.7</v>
      </c>
      <c r="DY41" s="132">
        <v>0.7</v>
      </c>
      <c r="DZ41" s="132">
        <v>0</v>
      </c>
      <c r="EA41" s="132">
        <v>0</v>
      </c>
      <c r="EB41" s="5">
        <f t="shared" si="31"/>
        <v>23.099999999999987</v>
      </c>
      <c r="EC41" s="5">
        <v>3</v>
      </c>
      <c r="ED41" s="5">
        <f t="shared" ref="ED41:ED50" si="36">EC41*8</f>
        <v>24</v>
      </c>
      <c r="EE41" s="7">
        <f t="shared" ref="EE41:EE50" si="37">ED41-EB41</f>
        <v>0.90000000000001279</v>
      </c>
      <c r="EF41" s="40" t="str">
        <f t="shared" ref="EF41:EF50" si="38">IF(EE41&gt;0, "","NO")</f>
        <v/>
      </c>
      <c r="EG41" s="41" t="str">
        <f t="shared" si="35"/>
        <v/>
      </c>
    </row>
    <row r="42" spans="1:137" x14ac:dyDescent="0.25">
      <c r="A42" s="129" t="s">
        <v>253</v>
      </c>
      <c r="B42" s="129"/>
      <c r="C42" s="130">
        <v>36</v>
      </c>
      <c r="D42" s="131">
        <v>45911</v>
      </c>
      <c r="E42" s="132" t="s">
        <v>37</v>
      </c>
      <c r="F42" s="132" t="s">
        <v>37</v>
      </c>
      <c r="G42" s="132" t="s">
        <v>37</v>
      </c>
      <c r="H42" s="132" t="s">
        <v>37</v>
      </c>
      <c r="I42" s="132" t="s">
        <v>37</v>
      </c>
      <c r="J42" s="132" t="s">
        <v>37</v>
      </c>
      <c r="K42" s="132" t="s">
        <v>37</v>
      </c>
      <c r="L42" s="132" t="s">
        <v>37</v>
      </c>
      <c r="M42" s="140"/>
      <c r="N42" s="132" t="s">
        <v>37</v>
      </c>
      <c r="O42" s="132" t="s">
        <v>37</v>
      </c>
      <c r="P42" s="132" t="s">
        <v>37</v>
      </c>
      <c r="Q42" s="132" t="s">
        <v>37</v>
      </c>
      <c r="R42" s="132" t="s">
        <v>37</v>
      </c>
      <c r="S42" s="132" t="s">
        <v>37</v>
      </c>
      <c r="T42" s="132" t="s">
        <v>37</v>
      </c>
      <c r="U42" s="132" t="s">
        <v>37</v>
      </c>
      <c r="V42" s="140"/>
      <c r="W42" s="132" t="s">
        <v>37</v>
      </c>
      <c r="X42" s="132" t="s">
        <v>37</v>
      </c>
      <c r="Y42" s="132" t="s">
        <v>37</v>
      </c>
      <c r="Z42" s="132" t="s">
        <v>37</v>
      </c>
      <c r="AA42" s="132" t="s">
        <v>37</v>
      </c>
      <c r="AB42" s="132" t="s">
        <v>37</v>
      </c>
      <c r="AC42" s="132" t="s">
        <v>37</v>
      </c>
      <c r="AD42" s="132" t="s">
        <v>37</v>
      </c>
      <c r="AE42" s="132" t="s">
        <v>37</v>
      </c>
      <c r="AF42" s="140"/>
      <c r="AG42" s="132" t="s">
        <v>37</v>
      </c>
      <c r="AH42" s="132" t="s">
        <v>37</v>
      </c>
      <c r="AI42" s="132" t="s">
        <v>37</v>
      </c>
      <c r="AJ42" s="132" t="s">
        <v>37</v>
      </c>
      <c r="AK42" s="132" t="s">
        <v>37</v>
      </c>
      <c r="AL42" s="132" t="s">
        <v>37</v>
      </c>
      <c r="AM42" s="132" t="s">
        <v>37</v>
      </c>
      <c r="AN42" s="132" t="s">
        <v>37</v>
      </c>
      <c r="AO42" s="132" t="s">
        <v>37</v>
      </c>
      <c r="AP42" s="140"/>
      <c r="AQ42" s="132" t="s">
        <v>37</v>
      </c>
      <c r="AR42" s="132" t="s">
        <v>37</v>
      </c>
      <c r="AS42" s="132" t="s">
        <v>37</v>
      </c>
      <c r="AT42" s="132" t="s">
        <v>37</v>
      </c>
      <c r="AU42" s="132" t="s">
        <v>37</v>
      </c>
      <c r="AV42" s="132" t="s">
        <v>37</v>
      </c>
      <c r="AW42" s="132" t="s">
        <v>37</v>
      </c>
      <c r="AX42" s="132" t="s">
        <v>37</v>
      </c>
      <c r="AY42" s="132" t="s">
        <v>37</v>
      </c>
      <c r="AZ42" s="132" t="s">
        <v>37</v>
      </c>
      <c r="BA42" s="140"/>
      <c r="BB42" s="132" t="s">
        <v>37</v>
      </c>
      <c r="BC42" s="132" t="s">
        <v>37</v>
      </c>
      <c r="BD42" s="132" t="s">
        <v>37</v>
      </c>
      <c r="BE42" s="132" t="s">
        <v>37</v>
      </c>
      <c r="BF42" s="132" t="s">
        <v>37</v>
      </c>
      <c r="BG42" s="132" t="s">
        <v>37</v>
      </c>
      <c r="BH42" s="132" t="s">
        <v>37</v>
      </c>
      <c r="BI42" s="132" t="s">
        <v>37</v>
      </c>
      <c r="BJ42" s="132" t="s">
        <v>37</v>
      </c>
      <c r="BK42" s="132" t="s">
        <v>37</v>
      </c>
      <c r="BL42" s="132" t="s">
        <v>37</v>
      </c>
      <c r="BM42" s="132" t="s">
        <v>37</v>
      </c>
      <c r="BN42" s="132" t="s">
        <v>37</v>
      </c>
      <c r="BO42" s="132" t="s">
        <v>37</v>
      </c>
      <c r="BP42" s="140"/>
      <c r="BQ42" s="132" t="s">
        <v>37</v>
      </c>
      <c r="BR42" s="132" t="s">
        <v>37</v>
      </c>
      <c r="BS42" s="132" t="s">
        <v>37</v>
      </c>
      <c r="BT42" s="132" t="s">
        <v>37</v>
      </c>
      <c r="BU42" s="132" t="s">
        <v>37</v>
      </c>
      <c r="BV42" s="132" t="s">
        <v>37</v>
      </c>
      <c r="BW42" s="132" t="s">
        <v>37</v>
      </c>
      <c r="BX42" s="132" t="s">
        <v>37</v>
      </c>
      <c r="BY42" s="132" t="s">
        <v>37</v>
      </c>
      <c r="BZ42" s="132" t="s">
        <v>37</v>
      </c>
      <c r="CA42" s="140"/>
      <c r="CB42" s="132">
        <v>0.7</v>
      </c>
      <c r="CC42" s="132">
        <v>0.7</v>
      </c>
      <c r="CD42" s="132">
        <v>0.7</v>
      </c>
      <c r="CE42" s="132">
        <v>0.7</v>
      </c>
      <c r="CF42" s="132">
        <v>0.7</v>
      </c>
      <c r="CG42" s="132">
        <v>0.7</v>
      </c>
      <c r="CH42" s="132">
        <v>0.7</v>
      </c>
      <c r="CI42" s="132">
        <v>0.7</v>
      </c>
      <c r="CJ42" s="132">
        <v>0.7</v>
      </c>
      <c r="CK42" s="140"/>
      <c r="CL42" s="132">
        <v>0.7</v>
      </c>
      <c r="CM42" s="132">
        <v>0.7</v>
      </c>
      <c r="CN42" s="132">
        <v>0.7</v>
      </c>
      <c r="CO42" s="132">
        <v>0</v>
      </c>
      <c r="CP42" s="132">
        <v>0.7</v>
      </c>
      <c r="CQ42" s="132">
        <v>0.7</v>
      </c>
      <c r="CR42" s="132">
        <v>0.7</v>
      </c>
      <c r="CS42" s="132">
        <v>0.7</v>
      </c>
      <c r="CT42" s="132">
        <v>0.7</v>
      </c>
      <c r="CU42" s="132" t="s">
        <v>37</v>
      </c>
      <c r="CV42" s="132">
        <v>0.7</v>
      </c>
      <c r="CW42" s="132">
        <v>0.7</v>
      </c>
      <c r="CX42" s="132">
        <v>0.7</v>
      </c>
      <c r="CY42" s="140"/>
      <c r="CZ42" s="109">
        <v>0.7</v>
      </c>
      <c r="DA42" s="109" t="s">
        <v>37</v>
      </c>
      <c r="DB42" s="133" t="s">
        <v>37</v>
      </c>
      <c r="DC42" s="109">
        <v>0.7</v>
      </c>
      <c r="DD42" s="132">
        <v>0</v>
      </c>
      <c r="DE42" s="132">
        <v>0</v>
      </c>
      <c r="DF42" s="132">
        <v>0.7</v>
      </c>
      <c r="DG42" s="132">
        <v>0.7</v>
      </c>
      <c r="DH42" s="132">
        <v>0.7</v>
      </c>
      <c r="DI42" s="132">
        <v>0.7</v>
      </c>
      <c r="DJ42" s="132">
        <v>0.7</v>
      </c>
      <c r="DK42" s="132">
        <v>0.7</v>
      </c>
      <c r="DL42" s="132">
        <v>0.7</v>
      </c>
      <c r="DM42" s="140"/>
      <c r="DN42" s="132">
        <v>0.7</v>
      </c>
      <c r="DO42" s="132">
        <v>0.7</v>
      </c>
      <c r="DP42" s="109" t="s">
        <v>37</v>
      </c>
      <c r="DQ42" s="133" t="s">
        <v>37</v>
      </c>
      <c r="DR42" s="109" t="s">
        <v>37</v>
      </c>
      <c r="DS42" s="133" t="s">
        <v>37</v>
      </c>
      <c r="DT42" s="132">
        <v>0</v>
      </c>
      <c r="DU42" s="132">
        <v>0.7</v>
      </c>
      <c r="DV42" s="132">
        <v>0.7</v>
      </c>
      <c r="DW42" s="132">
        <v>0.7</v>
      </c>
      <c r="DX42" s="132">
        <v>0.7</v>
      </c>
      <c r="DY42" s="132">
        <v>0.7</v>
      </c>
      <c r="DZ42" s="132">
        <v>0</v>
      </c>
      <c r="EA42" s="132">
        <v>0</v>
      </c>
      <c r="EB42" s="5">
        <f t="shared" si="31"/>
        <v>25.199999999999985</v>
      </c>
      <c r="EC42" s="5">
        <v>3</v>
      </c>
      <c r="ED42" s="5">
        <f t="shared" si="36"/>
        <v>24</v>
      </c>
      <c r="EE42" s="7">
        <f t="shared" si="37"/>
        <v>-1.1999999999999851</v>
      </c>
      <c r="EF42" s="40" t="str">
        <f t="shared" si="38"/>
        <v>NO</v>
      </c>
      <c r="EG42" s="41" t="str">
        <f t="shared" si="35"/>
        <v>صفية اشرقت تجاني</v>
      </c>
    </row>
    <row r="43" spans="1:137" x14ac:dyDescent="0.25">
      <c r="A43" s="129" t="s">
        <v>254</v>
      </c>
      <c r="B43" s="129"/>
      <c r="C43" s="130">
        <v>37</v>
      </c>
      <c r="D43" s="131">
        <v>45911</v>
      </c>
      <c r="E43" s="132" t="s">
        <v>37</v>
      </c>
      <c r="F43" s="132" t="s">
        <v>37</v>
      </c>
      <c r="G43" s="132" t="s">
        <v>37</v>
      </c>
      <c r="H43" s="132" t="s">
        <v>37</v>
      </c>
      <c r="I43" s="132" t="s">
        <v>37</v>
      </c>
      <c r="J43" s="132" t="s">
        <v>37</v>
      </c>
      <c r="K43" s="132" t="s">
        <v>37</v>
      </c>
      <c r="L43" s="132" t="s">
        <v>37</v>
      </c>
      <c r="M43" s="140"/>
      <c r="N43" s="132" t="s">
        <v>37</v>
      </c>
      <c r="O43" s="132" t="s">
        <v>37</v>
      </c>
      <c r="P43" s="132" t="s">
        <v>37</v>
      </c>
      <c r="Q43" s="132" t="s">
        <v>37</v>
      </c>
      <c r="R43" s="132" t="s">
        <v>37</v>
      </c>
      <c r="S43" s="132" t="s">
        <v>37</v>
      </c>
      <c r="T43" s="132" t="s">
        <v>37</v>
      </c>
      <c r="U43" s="132" t="s">
        <v>37</v>
      </c>
      <c r="V43" s="140"/>
      <c r="W43" s="132" t="s">
        <v>37</v>
      </c>
      <c r="X43" s="132" t="s">
        <v>37</v>
      </c>
      <c r="Y43" s="132" t="s">
        <v>37</v>
      </c>
      <c r="Z43" s="132" t="s">
        <v>37</v>
      </c>
      <c r="AA43" s="132" t="s">
        <v>37</v>
      </c>
      <c r="AB43" s="132" t="s">
        <v>37</v>
      </c>
      <c r="AC43" s="132" t="s">
        <v>37</v>
      </c>
      <c r="AD43" s="132" t="s">
        <v>37</v>
      </c>
      <c r="AE43" s="132" t="s">
        <v>37</v>
      </c>
      <c r="AF43" s="140"/>
      <c r="AG43" s="132" t="s">
        <v>37</v>
      </c>
      <c r="AH43" s="132" t="s">
        <v>37</v>
      </c>
      <c r="AI43" s="132" t="s">
        <v>37</v>
      </c>
      <c r="AJ43" s="132" t="s">
        <v>37</v>
      </c>
      <c r="AK43" s="132" t="s">
        <v>37</v>
      </c>
      <c r="AL43" s="132" t="s">
        <v>37</v>
      </c>
      <c r="AM43" s="132" t="s">
        <v>37</v>
      </c>
      <c r="AN43" s="132" t="s">
        <v>37</v>
      </c>
      <c r="AO43" s="132" t="s">
        <v>37</v>
      </c>
      <c r="AP43" s="140"/>
      <c r="AQ43" s="132" t="s">
        <v>37</v>
      </c>
      <c r="AR43" s="132" t="s">
        <v>37</v>
      </c>
      <c r="AS43" s="132" t="s">
        <v>37</v>
      </c>
      <c r="AT43" s="132" t="s">
        <v>37</v>
      </c>
      <c r="AU43" s="132" t="s">
        <v>37</v>
      </c>
      <c r="AV43" s="132" t="s">
        <v>37</v>
      </c>
      <c r="AW43" s="132" t="s">
        <v>37</v>
      </c>
      <c r="AX43" s="132" t="s">
        <v>37</v>
      </c>
      <c r="AY43" s="132" t="s">
        <v>37</v>
      </c>
      <c r="AZ43" s="132" t="s">
        <v>37</v>
      </c>
      <c r="BA43" s="140"/>
      <c r="BB43" s="132" t="s">
        <v>37</v>
      </c>
      <c r="BC43" s="132" t="s">
        <v>37</v>
      </c>
      <c r="BD43" s="132" t="s">
        <v>37</v>
      </c>
      <c r="BE43" s="132" t="s">
        <v>37</v>
      </c>
      <c r="BF43" s="132" t="s">
        <v>37</v>
      </c>
      <c r="BG43" s="132" t="s">
        <v>37</v>
      </c>
      <c r="BH43" s="132" t="s">
        <v>37</v>
      </c>
      <c r="BI43" s="132" t="s">
        <v>37</v>
      </c>
      <c r="BJ43" s="132" t="s">
        <v>37</v>
      </c>
      <c r="BK43" s="132" t="s">
        <v>37</v>
      </c>
      <c r="BL43" s="132" t="s">
        <v>37</v>
      </c>
      <c r="BM43" s="132" t="s">
        <v>37</v>
      </c>
      <c r="BN43" s="132" t="s">
        <v>37</v>
      </c>
      <c r="BO43" s="132" t="s">
        <v>37</v>
      </c>
      <c r="BP43" s="140"/>
      <c r="BQ43" s="132" t="s">
        <v>37</v>
      </c>
      <c r="BR43" s="132" t="s">
        <v>37</v>
      </c>
      <c r="BS43" s="132" t="s">
        <v>37</v>
      </c>
      <c r="BT43" s="132" t="s">
        <v>37</v>
      </c>
      <c r="BU43" s="132" t="s">
        <v>37</v>
      </c>
      <c r="BV43" s="132" t="s">
        <v>37</v>
      </c>
      <c r="BW43" s="132" t="s">
        <v>37</v>
      </c>
      <c r="BX43" s="132" t="s">
        <v>37</v>
      </c>
      <c r="BY43" s="132" t="s">
        <v>37</v>
      </c>
      <c r="BZ43" s="132" t="s">
        <v>37</v>
      </c>
      <c r="CA43" s="140"/>
      <c r="CB43" s="132">
        <v>0.7</v>
      </c>
      <c r="CC43" s="132">
        <v>0.7</v>
      </c>
      <c r="CD43" s="132">
        <v>0.7</v>
      </c>
      <c r="CE43" s="132">
        <v>0.7</v>
      </c>
      <c r="CF43" s="132">
        <v>0</v>
      </c>
      <c r="CG43" s="132">
        <v>0.7</v>
      </c>
      <c r="CH43" s="132">
        <v>0.7</v>
      </c>
      <c r="CI43" s="132">
        <v>0.7</v>
      </c>
      <c r="CJ43" s="132">
        <v>0.7</v>
      </c>
      <c r="CK43" s="140"/>
      <c r="CL43" s="132">
        <v>0.7</v>
      </c>
      <c r="CM43" s="132">
        <v>0.7</v>
      </c>
      <c r="CN43" s="132">
        <v>0.7</v>
      </c>
      <c r="CO43" s="132">
        <v>0.7</v>
      </c>
      <c r="CP43" s="132">
        <v>0.7</v>
      </c>
      <c r="CQ43" s="132">
        <v>0.7</v>
      </c>
      <c r="CR43" s="132">
        <v>0.7</v>
      </c>
      <c r="CS43" s="132">
        <v>0.7</v>
      </c>
      <c r="CT43" s="132">
        <v>0.7</v>
      </c>
      <c r="CU43" s="132" t="s">
        <v>37</v>
      </c>
      <c r="CV43" s="132">
        <v>0.7</v>
      </c>
      <c r="CW43" s="132">
        <v>0.7</v>
      </c>
      <c r="CX43" s="132">
        <v>0.7</v>
      </c>
      <c r="CY43" s="140"/>
      <c r="CZ43" s="109">
        <v>0.7</v>
      </c>
      <c r="DA43" s="109" t="s">
        <v>37</v>
      </c>
      <c r="DB43" s="133" t="s">
        <v>37</v>
      </c>
      <c r="DC43" s="109">
        <v>0.7</v>
      </c>
      <c r="DD43" s="132">
        <v>0.7</v>
      </c>
      <c r="DE43" s="132">
        <v>0.7</v>
      </c>
      <c r="DF43" s="132">
        <v>0.7</v>
      </c>
      <c r="DG43" s="132">
        <v>0.7</v>
      </c>
      <c r="DH43" s="132">
        <v>0.7</v>
      </c>
      <c r="DI43" s="132">
        <v>0.7</v>
      </c>
      <c r="DJ43" s="132">
        <v>0.7</v>
      </c>
      <c r="DK43" s="132">
        <v>0.7</v>
      </c>
      <c r="DL43" s="132">
        <v>0.7</v>
      </c>
      <c r="DM43" s="140"/>
      <c r="DN43" s="132">
        <v>0.7</v>
      </c>
      <c r="DO43" s="132">
        <v>0.7</v>
      </c>
      <c r="DP43" s="109" t="s">
        <v>37</v>
      </c>
      <c r="DQ43" s="133" t="s">
        <v>37</v>
      </c>
      <c r="DR43" s="109" t="s">
        <v>37</v>
      </c>
      <c r="DS43" s="133" t="s">
        <v>37</v>
      </c>
      <c r="DT43" s="132">
        <v>0.7</v>
      </c>
      <c r="DU43" s="132">
        <v>0.7</v>
      </c>
      <c r="DV43" s="132">
        <v>0.7</v>
      </c>
      <c r="DW43" s="132">
        <v>0.7</v>
      </c>
      <c r="DX43" s="132">
        <v>0.7</v>
      </c>
      <c r="DY43" s="132">
        <v>0.7</v>
      </c>
      <c r="DZ43" s="132">
        <v>0</v>
      </c>
      <c r="EA43" s="132">
        <v>0.7</v>
      </c>
      <c r="EB43" s="5">
        <f t="shared" si="31"/>
        <v>27.999999999999982</v>
      </c>
      <c r="EC43" s="5">
        <v>4</v>
      </c>
      <c r="ED43" s="5">
        <f t="shared" si="36"/>
        <v>32</v>
      </c>
      <c r="EE43" s="7">
        <f t="shared" si="37"/>
        <v>4.0000000000000178</v>
      </c>
      <c r="EF43" s="40" t="str">
        <f t="shared" si="38"/>
        <v/>
      </c>
      <c r="EG43" s="41" t="str">
        <f t="shared" si="35"/>
        <v/>
      </c>
    </row>
    <row r="44" spans="1:137" x14ac:dyDescent="0.25">
      <c r="A44" s="129" t="s">
        <v>255</v>
      </c>
      <c r="B44" s="129"/>
      <c r="C44" s="130">
        <v>38</v>
      </c>
      <c r="D44" s="131">
        <v>45911</v>
      </c>
      <c r="E44" s="132" t="s">
        <v>37</v>
      </c>
      <c r="F44" s="132" t="s">
        <v>37</v>
      </c>
      <c r="G44" s="132" t="s">
        <v>37</v>
      </c>
      <c r="H44" s="132" t="s">
        <v>37</v>
      </c>
      <c r="I44" s="132" t="s">
        <v>37</v>
      </c>
      <c r="J44" s="132" t="s">
        <v>37</v>
      </c>
      <c r="K44" s="132" t="s">
        <v>37</v>
      </c>
      <c r="L44" s="132" t="s">
        <v>37</v>
      </c>
      <c r="M44" s="140"/>
      <c r="N44" s="132" t="s">
        <v>37</v>
      </c>
      <c r="O44" s="132" t="s">
        <v>37</v>
      </c>
      <c r="P44" s="132" t="s">
        <v>37</v>
      </c>
      <c r="Q44" s="132" t="s">
        <v>37</v>
      </c>
      <c r="R44" s="132" t="s">
        <v>37</v>
      </c>
      <c r="S44" s="132" t="s">
        <v>37</v>
      </c>
      <c r="T44" s="132" t="s">
        <v>37</v>
      </c>
      <c r="U44" s="132" t="s">
        <v>37</v>
      </c>
      <c r="V44" s="140"/>
      <c r="W44" s="132" t="s">
        <v>37</v>
      </c>
      <c r="X44" s="132" t="s">
        <v>37</v>
      </c>
      <c r="Y44" s="132" t="s">
        <v>37</v>
      </c>
      <c r="Z44" s="132" t="s">
        <v>37</v>
      </c>
      <c r="AA44" s="132" t="s">
        <v>37</v>
      </c>
      <c r="AB44" s="132" t="s">
        <v>37</v>
      </c>
      <c r="AC44" s="132" t="s">
        <v>37</v>
      </c>
      <c r="AD44" s="132" t="s">
        <v>37</v>
      </c>
      <c r="AE44" s="132" t="s">
        <v>37</v>
      </c>
      <c r="AF44" s="140"/>
      <c r="AG44" s="132" t="s">
        <v>37</v>
      </c>
      <c r="AH44" s="132" t="s">
        <v>37</v>
      </c>
      <c r="AI44" s="132" t="s">
        <v>37</v>
      </c>
      <c r="AJ44" s="132" t="s">
        <v>37</v>
      </c>
      <c r="AK44" s="132" t="s">
        <v>37</v>
      </c>
      <c r="AL44" s="132" t="s">
        <v>37</v>
      </c>
      <c r="AM44" s="132" t="s">
        <v>37</v>
      </c>
      <c r="AN44" s="132" t="s">
        <v>37</v>
      </c>
      <c r="AO44" s="132" t="s">
        <v>37</v>
      </c>
      <c r="AP44" s="140"/>
      <c r="AQ44" s="132" t="s">
        <v>37</v>
      </c>
      <c r="AR44" s="132" t="s">
        <v>37</v>
      </c>
      <c r="AS44" s="132" t="s">
        <v>37</v>
      </c>
      <c r="AT44" s="132" t="s">
        <v>37</v>
      </c>
      <c r="AU44" s="132" t="s">
        <v>37</v>
      </c>
      <c r="AV44" s="132" t="s">
        <v>37</v>
      </c>
      <c r="AW44" s="132" t="s">
        <v>37</v>
      </c>
      <c r="AX44" s="132" t="s">
        <v>37</v>
      </c>
      <c r="AY44" s="132" t="s">
        <v>37</v>
      </c>
      <c r="AZ44" s="132" t="s">
        <v>37</v>
      </c>
      <c r="BA44" s="140"/>
      <c r="BB44" s="132" t="s">
        <v>37</v>
      </c>
      <c r="BC44" s="132" t="s">
        <v>37</v>
      </c>
      <c r="BD44" s="132" t="s">
        <v>37</v>
      </c>
      <c r="BE44" s="132" t="s">
        <v>37</v>
      </c>
      <c r="BF44" s="132" t="s">
        <v>37</v>
      </c>
      <c r="BG44" s="132" t="s">
        <v>37</v>
      </c>
      <c r="BH44" s="132" t="s">
        <v>37</v>
      </c>
      <c r="BI44" s="132" t="s">
        <v>37</v>
      </c>
      <c r="BJ44" s="132" t="s">
        <v>37</v>
      </c>
      <c r="BK44" s="132" t="s">
        <v>37</v>
      </c>
      <c r="BL44" s="132" t="s">
        <v>37</v>
      </c>
      <c r="BM44" s="132" t="s">
        <v>37</v>
      </c>
      <c r="BN44" s="132" t="s">
        <v>37</v>
      </c>
      <c r="BO44" s="132" t="s">
        <v>37</v>
      </c>
      <c r="BP44" s="140"/>
      <c r="BQ44" s="132" t="s">
        <v>37</v>
      </c>
      <c r="BR44" s="132" t="s">
        <v>37</v>
      </c>
      <c r="BS44" s="132" t="s">
        <v>37</v>
      </c>
      <c r="BT44" s="132" t="s">
        <v>37</v>
      </c>
      <c r="BU44" s="132" t="s">
        <v>37</v>
      </c>
      <c r="BV44" s="132" t="s">
        <v>37</v>
      </c>
      <c r="BW44" s="132" t="s">
        <v>37</v>
      </c>
      <c r="BX44" s="132" t="s">
        <v>37</v>
      </c>
      <c r="BY44" s="132" t="s">
        <v>37</v>
      </c>
      <c r="BZ44" s="132" t="s">
        <v>37</v>
      </c>
      <c r="CA44" s="140"/>
      <c r="CB44" s="132">
        <v>0.7</v>
      </c>
      <c r="CC44" s="132">
        <v>0</v>
      </c>
      <c r="CD44" s="132">
        <v>0.7</v>
      </c>
      <c r="CE44" s="132">
        <v>0.7</v>
      </c>
      <c r="CF44" s="132">
        <v>0.7</v>
      </c>
      <c r="CG44" s="132">
        <v>0.7</v>
      </c>
      <c r="CH44" s="132">
        <v>0.7</v>
      </c>
      <c r="CI44" s="132">
        <v>0.7</v>
      </c>
      <c r="CJ44" s="132">
        <v>0.7</v>
      </c>
      <c r="CK44" s="140"/>
      <c r="CL44" s="132">
        <v>0.7</v>
      </c>
      <c r="CM44" s="132">
        <v>0.7</v>
      </c>
      <c r="CN44" s="132">
        <v>0.7</v>
      </c>
      <c r="CO44" s="132">
        <v>0.7</v>
      </c>
      <c r="CP44" s="132">
        <v>0.7</v>
      </c>
      <c r="CQ44" s="132">
        <v>0</v>
      </c>
      <c r="CR44" s="132">
        <v>0.7</v>
      </c>
      <c r="CS44" s="132">
        <v>0.7</v>
      </c>
      <c r="CT44" s="132">
        <v>0.7</v>
      </c>
      <c r="CU44" s="132" t="s">
        <v>37</v>
      </c>
      <c r="CV44" s="132">
        <v>0.7</v>
      </c>
      <c r="CW44" s="132">
        <v>0.7</v>
      </c>
      <c r="CX44" s="132">
        <v>0</v>
      </c>
      <c r="CY44" s="140"/>
      <c r="CZ44" s="109">
        <v>0</v>
      </c>
      <c r="DA44" s="109" t="s">
        <v>37</v>
      </c>
      <c r="DB44" s="133" t="s">
        <v>37</v>
      </c>
      <c r="DC44" s="109">
        <v>0</v>
      </c>
      <c r="DD44" s="132">
        <v>0</v>
      </c>
      <c r="DE44" s="132">
        <v>0.7</v>
      </c>
      <c r="DF44" s="132">
        <v>0.7</v>
      </c>
      <c r="DG44" s="132">
        <v>0</v>
      </c>
      <c r="DH44" s="132">
        <v>0.7</v>
      </c>
      <c r="DI44" s="132">
        <v>0</v>
      </c>
      <c r="DJ44" s="132">
        <v>0</v>
      </c>
      <c r="DK44" s="132">
        <v>0</v>
      </c>
      <c r="DL44" s="149"/>
      <c r="DM44" s="140"/>
      <c r="DN44" s="132">
        <v>0.7</v>
      </c>
      <c r="DO44" s="132">
        <v>0.7</v>
      </c>
      <c r="DP44" s="109" t="s">
        <v>37</v>
      </c>
      <c r="DQ44" s="133" t="s">
        <v>37</v>
      </c>
      <c r="DR44" s="109" t="s">
        <v>37</v>
      </c>
      <c r="DS44" s="133" t="s">
        <v>37</v>
      </c>
      <c r="DT44" s="132">
        <v>0</v>
      </c>
      <c r="DU44" s="132">
        <v>0</v>
      </c>
      <c r="DV44" s="132">
        <v>0</v>
      </c>
      <c r="DW44" s="132">
        <v>0.7</v>
      </c>
      <c r="DX44" s="132">
        <v>0.7</v>
      </c>
      <c r="DY44" s="132">
        <v>0</v>
      </c>
      <c r="DZ44" s="132">
        <v>0</v>
      </c>
      <c r="EA44" s="132">
        <v>0</v>
      </c>
      <c r="EB44" s="5">
        <f t="shared" si="31"/>
        <v>17.499999999999993</v>
      </c>
      <c r="EC44" s="5">
        <v>1</v>
      </c>
      <c r="ED44" s="5">
        <f t="shared" si="36"/>
        <v>8</v>
      </c>
      <c r="EE44" s="7">
        <f t="shared" si="37"/>
        <v>-9.4999999999999929</v>
      </c>
      <c r="EF44" s="40" t="str">
        <f t="shared" si="38"/>
        <v>NO</v>
      </c>
      <c r="EG44" s="41" t="str">
        <f t="shared" si="35"/>
        <v>كنان محيرق</v>
      </c>
    </row>
    <row r="45" spans="1:137" x14ac:dyDescent="0.25">
      <c r="A45" s="129" t="s">
        <v>271</v>
      </c>
      <c r="B45" s="129"/>
      <c r="C45" s="130">
        <v>39</v>
      </c>
      <c r="D45" s="131">
        <v>45914</v>
      </c>
      <c r="E45" s="132" t="s">
        <v>37</v>
      </c>
      <c r="F45" s="132" t="s">
        <v>37</v>
      </c>
      <c r="G45" s="132" t="s">
        <v>37</v>
      </c>
      <c r="H45" s="132" t="s">
        <v>37</v>
      </c>
      <c r="I45" s="132" t="s">
        <v>37</v>
      </c>
      <c r="J45" s="132" t="s">
        <v>37</v>
      </c>
      <c r="K45" s="132" t="s">
        <v>37</v>
      </c>
      <c r="L45" s="132" t="s">
        <v>37</v>
      </c>
      <c r="M45" s="139"/>
      <c r="N45" s="132" t="s">
        <v>37</v>
      </c>
      <c r="O45" s="132" t="s">
        <v>37</v>
      </c>
      <c r="P45" s="132" t="s">
        <v>37</v>
      </c>
      <c r="Q45" s="132" t="s">
        <v>37</v>
      </c>
      <c r="R45" s="132" t="s">
        <v>37</v>
      </c>
      <c r="S45" s="132" t="s">
        <v>37</v>
      </c>
      <c r="T45" s="132" t="s">
        <v>37</v>
      </c>
      <c r="U45" s="132" t="s">
        <v>37</v>
      </c>
      <c r="V45" s="139"/>
      <c r="W45" s="132" t="s">
        <v>37</v>
      </c>
      <c r="X45" s="132" t="s">
        <v>37</v>
      </c>
      <c r="Y45" s="132" t="s">
        <v>37</v>
      </c>
      <c r="Z45" s="132" t="s">
        <v>37</v>
      </c>
      <c r="AA45" s="132" t="s">
        <v>37</v>
      </c>
      <c r="AB45" s="132" t="s">
        <v>37</v>
      </c>
      <c r="AC45" s="132" t="s">
        <v>37</v>
      </c>
      <c r="AD45" s="132" t="s">
        <v>37</v>
      </c>
      <c r="AE45" s="132" t="s">
        <v>37</v>
      </c>
      <c r="AF45" s="139"/>
      <c r="AG45" s="132" t="s">
        <v>37</v>
      </c>
      <c r="AH45" s="132" t="s">
        <v>37</v>
      </c>
      <c r="AI45" s="132" t="s">
        <v>37</v>
      </c>
      <c r="AJ45" s="132" t="s">
        <v>37</v>
      </c>
      <c r="AK45" s="132" t="s">
        <v>37</v>
      </c>
      <c r="AL45" s="132" t="s">
        <v>37</v>
      </c>
      <c r="AM45" s="132" t="s">
        <v>37</v>
      </c>
      <c r="AN45" s="132" t="s">
        <v>37</v>
      </c>
      <c r="AO45" s="132" t="s">
        <v>37</v>
      </c>
      <c r="AP45" s="139"/>
      <c r="AQ45" s="132" t="s">
        <v>37</v>
      </c>
      <c r="AR45" s="132" t="s">
        <v>37</v>
      </c>
      <c r="AS45" s="132" t="s">
        <v>37</v>
      </c>
      <c r="AT45" s="132" t="s">
        <v>37</v>
      </c>
      <c r="AU45" s="132" t="s">
        <v>37</v>
      </c>
      <c r="AV45" s="132" t="s">
        <v>37</v>
      </c>
      <c r="AW45" s="132" t="s">
        <v>37</v>
      </c>
      <c r="AX45" s="132" t="s">
        <v>37</v>
      </c>
      <c r="AY45" s="132" t="s">
        <v>37</v>
      </c>
      <c r="AZ45" s="132" t="s">
        <v>37</v>
      </c>
      <c r="BA45" s="139"/>
      <c r="BB45" s="132" t="s">
        <v>37</v>
      </c>
      <c r="BC45" s="132" t="s">
        <v>37</v>
      </c>
      <c r="BD45" s="132" t="s">
        <v>37</v>
      </c>
      <c r="BE45" s="132" t="s">
        <v>37</v>
      </c>
      <c r="BF45" s="132" t="s">
        <v>37</v>
      </c>
      <c r="BG45" s="132" t="s">
        <v>37</v>
      </c>
      <c r="BH45" s="132" t="s">
        <v>37</v>
      </c>
      <c r="BI45" s="132" t="s">
        <v>37</v>
      </c>
      <c r="BJ45" s="132" t="s">
        <v>37</v>
      </c>
      <c r="BK45" s="132" t="s">
        <v>37</v>
      </c>
      <c r="BL45" s="132" t="s">
        <v>37</v>
      </c>
      <c r="BM45" s="132" t="s">
        <v>37</v>
      </c>
      <c r="BN45" s="132" t="s">
        <v>37</v>
      </c>
      <c r="BO45" s="132" t="s">
        <v>37</v>
      </c>
      <c r="BP45" s="139"/>
      <c r="BQ45" s="132" t="s">
        <v>37</v>
      </c>
      <c r="BR45" s="132" t="s">
        <v>37</v>
      </c>
      <c r="BS45" s="132" t="s">
        <v>37</v>
      </c>
      <c r="BT45" s="132" t="s">
        <v>37</v>
      </c>
      <c r="BU45" s="132" t="s">
        <v>37</v>
      </c>
      <c r="BV45" s="132" t="s">
        <v>37</v>
      </c>
      <c r="BW45" s="132" t="s">
        <v>37</v>
      </c>
      <c r="BX45" s="132" t="s">
        <v>37</v>
      </c>
      <c r="BY45" s="132" t="s">
        <v>37</v>
      </c>
      <c r="BZ45" s="132" t="s">
        <v>37</v>
      </c>
      <c r="CA45" s="139"/>
      <c r="CB45" s="132" t="s">
        <v>37</v>
      </c>
      <c r="CC45" s="132">
        <v>0.7</v>
      </c>
      <c r="CD45" s="132">
        <v>0.7</v>
      </c>
      <c r="CE45" s="132">
        <v>0.7</v>
      </c>
      <c r="CF45" s="132">
        <v>0.7</v>
      </c>
      <c r="CG45" s="132">
        <v>0.7</v>
      </c>
      <c r="CH45" s="132">
        <v>0.7</v>
      </c>
      <c r="CI45" s="132">
        <v>0.7</v>
      </c>
      <c r="CJ45" s="132">
        <v>0.7</v>
      </c>
      <c r="CK45" s="139"/>
      <c r="CL45" s="132">
        <v>0.7</v>
      </c>
      <c r="CM45" s="132">
        <v>0.7</v>
      </c>
      <c r="CN45" s="132">
        <v>0.7</v>
      </c>
      <c r="CO45" s="132">
        <v>0</v>
      </c>
      <c r="CP45" s="132">
        <v>0.7</v>
      </c>
      <c r="CQ45" s="132">
        <v>0.7</v>
      </c>
      <c r="CR45" s="132">
        <v>0.7</v>
      </c>
      <c r="CS45" s="132">
        <v>0.7</v>
      </c>
      <c r="CT45" s="132">
        <v>0.7</v>
      </c>
      <c r="CU45" s="132" t="s">
        <v>37</v>
      </c>
      <c r="CV45" s="132">
        <v>0.7</v>
      </c>
      <c r="CW45" s="132">
        <v>0.7</v>
      </c>
      <c r="CX45" s="132">
        <v>0.7</v>
      </c>
      <c r="CY45" s="139"/>
      <c r="CZ45" s="109">
        <v>0.7</v>
      </c>
      <c r="DA45" s="109" t="s">
        <v>37</v>
      </c>
      <c r="DB45" s="133" t="s">
        <v>37</v>
      </c>
      <c r="DC45" s="109">
        <v>0.7</v>
      </c>
      <c r="DD45" s="132">
        <v>0.7</v>
      </c>
      <c r="DE45" s="132">
        <v>0.7</v>
      </c>
      <c r="DF45" s="132">
        <v>0.7</v>
      </c>
      <c r="DG45" s="132">
        <v>0.7</v>
      </c>
      <c r="DH45" s="132">
        <v>0.7</v>
      </c>
      <c r="DI45" s="132">
        <v>0.7</v>
      </c>
      <c r="DJ45" s="132">
        <v>0.7</v>
      </c>
      <c r="DK45" s="132">
        <v>0.7</v>
      </c>
      <c r="DL45" s="132">
        <v>0.7</v>
      </c>
      <c r="DM45" s="139"/>
      <c r="DN45" s="132">
        <v>0.7</v>
      </c>
      <c r="DO45" s="132">
        <v>0.7</v>
      </c>
      <c r="DP45" s="109" t="s">
        <v>37</v>
      </c>
      <c r="DQ45" s="133" t="s">
        <v>37</v>
      </c>
      <c r="DR45" s="109" t="s">
        <v>37</v>
      </c>
      <c r="DS45" s="133" t="s">
        <v>37</v>
      </c>
      <c r="DT45" s="132">
        <v>0.7</v>
      </c>
      <c r="DU45" s="132">
        <v>0.7</v>
      </c>
      <c r="DV45" s="132">
        <v>0</v>
      </c>
      <c r="DW45" s="132">
        <v>0</v>
      </c>
      <c r="DX45" s="132">
        <v>0</v>
      </c>
      <c r="DY45" s="132">
        <v>0</v>
      </c>
      <c r="DZ45" s="132">
        <v>0</v>
      </c>
      <c r="EA45" s="132">
        <v>0</v>
      </c>
      <c r="EB45" s="5">
        <f t="shared" si="31"/>
        <v>23.799999999999986</v>
      </c>
      <c r="EC45" s="5">
        <v>4</v>
      </c>
      <c r="ED45" s="5">
        <f t="shared" ref="ED45:ED49" si="39">EC45*8</f>
        <v>32</v>
      </c>
      <c r="EE45" s="7">
        <f t="shared" ref="EE45:EE49" si="40">ED45-EB45</f>
        <v>8.2000000000000135</v>
      </c>
      <c r="EF45" s="40" t="str">
        <f t="shared" ref="EF45:EF49" si="41">IF(EE45&gt;0, "","NO")</f>
        <v/>
      </c>
      <c r="EG45" s="41" t="str">
        <f t="shared" ref="EG45:EG49" si="42">IF(EE45&gt;0, "", A45)</f>
        <v/>
      </c>
    </row>
    <row r="46" spans="1:137" x14ac:dyDescent="0.25">
      <c r="A46" s="129" t="s">
        <v>264</v>
      </c>
      <c r="B46" s="129"/>
      <c r="C46" s="130">
        <v>40</v>
      </c>
      <c r="D46" s="131">
        <v>45914</v>
      </c>
      <c r="E46" s="132" t="s">
        <v>37</v>
      </c>
      <c r="F46" s="132" t="s">
        <v>37</v>
      </c>
      <c r="G46" s="132" t="s">
        <v>37</v>
      </c>
      <c r="H46" s="132" t="s">
        <v>37</v>
      </c>
      <c r="I46" s="132" t="s">
        <v>37</v>
      </c>
      <c r="J46" s="132" t="s">
        <v>37</v>
      </c>
      <c r="K46" s="132" t="s">
        <v>37</v>
      </c>
      <c r="L46" s="132" t="s">
        <v>37</v>
      </c>
      <c r="M46" s="139"/>
      <c r="N46" s="132" t="s">
        <v>37</v>
      </c>
      <c r="O46" s="132" t="s">
        <v>37</v>
      </c>
      <c r="P46" s="132" t="s">
        <v>37</v>
      </c>
      <c r="Q46" s="132" t="s">
        <v>37</v>
      </c>
      <c r="R46" s="132" t="s">
        <v>37</v>
      </c>
      <c r="S46" s="132" t="s">
        <v>37</v>
      </c>
      <c r="T46" s="132" t="s">
        <v>37</v>
      </c>
      <c r="U46" s="132" t="s">
        <v>37</v>
      </c>
      <c r="V46" s="139"/>
      <c r="W46" s="132" t="s">
        <v>37</v>
      </c>
      <c r="X46" s="132" t="s">
        <v>37</v>
      </c>
      <c r="Y46" s="132" t="s">
        <v>37</v>
      </c>
      <c r="Z46" s="132" t="s">
        <v>37</v>
      </c>
      <c r="AA46" s="132" t="s">
        <v>37</v>
      </c>
      <c r="AB46" s="132" t="s">
        <v>37</v>
      </c>
      <c r="AC46" s="132" t="s">
        <v>37</v>
      </c>
      <c r="AD46" s="132" t="s">
        <v>37</v>
      </c>
      <c r="AE46" s="132" t="s">
        <v>37</v>
      </c>
      <c r="AF46" s="139"/>
      <c r="AG46" s="132" t="s">
        <v>37</v>
      </c>
      <c r="AH46" s="132" t="s">
        <v>37</v>
      </c>
      <c r="AI46" s="132" t="s">
        <v>37</v>
      </c>
      <c r="AJ46" s="132" t="s">
        <v>37</v>
      </c>
      <c r="AK46" s="132" t="s">
        <v>37</v>
      </c>
      <c r="AL46" s="132" t="s">
        <v>37</v>
      </c>
      <c r="AM46" s="132" t="s">
        <v>37</v>
      </c>
      <c r="AN46" s="132" t="s">
        <v>37</v>
      </c>
      <c r="AO46" s="132" t="s">
        <v>37</v>
      </c>
      <c r="AP46" s="139"/>
      <c r="AQ46" s="132" t="s">
        <v>37</v>
      </c>
      <c r="AR46" s="132" t="s">
        <v>37</v>
      </c>
      <c r="AS46" s="132" t="s">
        <v>37</v>
      </c>
      <c r="AT46" s="132" t="s">
        <v>37</v>
      </c>
      <c r="AU46" s="132" t="s">
        <v>37</v>
      </c>
      <c r="AV46" s="132" t="s">
        <v>37</v>
      </c>
      <c r="AW46" s="132" t="s">
        <v>37</v>
      </c>
      <c r="AX46" s="132" t="s">
        <v>37</v>
      </c>
      <c r="AY46" s="132" t="s">
        <v>37</v>
      </c>
      <c r="AZ46" s="132" t="s">
        <v>37</v>
      </c>
      <c r="BA46" s="139"/>
      <c r="BB46" s="132" t="s">
        <v>37</v>
      </c>
      <c r="BC46" s="132" t="s">
        <v>37</v>
      </c>
      <c r="BD46" s="132" t="s">
        <v>37</v>
      </c>
      <c r="BE46" s="132" t="s">
        <v>37</v>
      </c>
      <c r="BF46" s="132" t="s">
        <v>37</v>
      </c>
      <c r="BG46" s="132" t="s">
        <v>37</v>
      </c>
      <c r="BH46" s="132" t="s">
        <v>37</v>
      </c>
      <c r="BI46" s="132" t="s">
        <v>37</v>
      </c>
      <c r="BJ46" s="132" t="s">
        <v>37</v>
      </c>
      <c r="BK46" s="132" t="s">
        <v>37</v>
      </c>
      <c r="BL46" s="132" t="s">
        <v>37</v>
      </c>
      <c r="BM46" s="132" t="s">
        <v>37</v>
      </c>
      <c r="BN46" s="132" t="s">
        <v>37</v>
      </c>
      <c r="BO46" s="132" t="s">
        <v>37</v>
      </c>
      <c r="BP46" s="139"/>
      <c r="BQ46" s="132" t="s">
        <v>37</v>
      </c>
      <c r="BR46" s="132" t="s">
        <v>37</v>
      </c>
      <c r="BS46" s="132" t="s">
        <v>37</v>
      </c>
      <c r="BT46" s="132" t="s">
        <v>37</v>
      </c>
      <c r="BU46" s="132" t="s">
        <v>37</v>
      </c>
      <c r="BV46" s="132" t="s">
        <v>37</v>
      </c>
      <c r="BW46" s="132" t="s">
        <v>37</v>
      </c>
      <c r="BX46" s="132" t="s">
        <v>37</v>
      </c>
      <c r="BY46" s="132" t="s">
        <v>37</v>
      </c>
      <c r="BZ46" s="132" t="s">
        <v>37</v>
      </c>
      <c r="CA46" s="139"/>
      <c r="CB46" s="132" t="s">
        <v>37</v>
      </c>
      <c r="CC46" s="132">
        <v>0.7</v>
      </c>
      <c r="CD46" s="132">
        <v>0.7</v>
      </c>
      <c r="CE46" s="132">
        <v>0.7</v>
      </c>
      <c r="CF46" s="132">
        <v>0.7</v>
      </c>
      <c r="CG46" s="132">
        <v>0.7</v>
      </c>
      <c r="CH46" s="132">
        <v>0.7</v>
      </c>
      <c r="CI46" s="132">
        <v>0.7</v>
      </c>
      <c r="CJ46" s="132">
        <v>0.7</v>
      </c>
      <c r="CK46" s="139"/>
      <c r="CL46" s="132">
        <v>0.7</v>
      </c>
      <c r="CM46" s="132">
        <v>0.7</v>
      </c>
      <c r="CN46" s="132">
        <v>0.7</v>
      </c>
      <c r="CO46" s="132">
        <v>0.7</v>
      </c>
      <c r="CP46" s="132">
        <v>0.7</v>
      </c>
      <c r="CQ46" s="132">
        <v>0.7</v>
      </c>
      <c r="CR46" s="132">
        <v>0.7</v>
      </c>
      <c r="CS46" s="132">
        <v>0.7</v>
      </c>
      <c r="CT46" s="132">
        <v>0.7</v>
      </c>
      <c r="CU46" s="132" t="s">
        <v>37</v>
      </c>
      <c r="CV46" s="132">
        <v>0.7</v>
      </c>
      <c r="CW46" s="132">
        <v>0.7</v>
      </c>
      <c r="CX46" s="132">
        <v>0.7</v>
      </c>
      <c r="CY46" s="139"/>
      <c r="CZ46" s="109">
        <v>0.7</v>
      </c>
      <c r="DA46" s="109" t="s">
        <v>37</v>
      </c>
      <c r="DB46" s="133" t="s">
        <v>37</v>
      </c>
      <c r="DC46" s="109">
        <v>0.7</v>
      </c>
      <c r="DD46" s="132">
        <v>0.7</v>
      </c>
      <c r="DE46" s="132">
        <v>0.7</v>
      </c>
      <c r="DF46" s="132">
        <v>0.7</v>
      </c>
      <c r="DG46" s="132">
        <v>0.7</v>
      </c>
      <c r="DH46" s="132">
        <v>0.7</v>
      </c>
      <c r="DI46" s="132">
        <v>0.7</v>
      </c>
      <c r="DJ46" s="132">
        <v>0.7</v>
      </c>
      <c r="DK46" s="132">
        <v>0.7</v>
      </c>
      <c r="DL46" s="149">
        <v>0.7</v>
      </c>
      <c r="DM46" s="139"/>
      <c r="DN46" s="132">
        <v>0.7</v>
      </c>
      <c r="DO46" s="132">
        <v>0.7</v>
      </c>
      <c r="DP46" s="109" t="s">
        <v>37</v>
      </c>
      <c r="DQ46" s="133" t="s">
        <v>37</v>
      </c>
      <c r="DR46" s="109" t="s">
        <v>37</v>
      </c>
      <c r="DS46" s="133" t="s">
        <v>37</v>
      </c>
      <c r="DT46" s="132">
        <v>0.7</v>
      </c>
      <c r="DU46" s="132">
        <v>0.7</v>
      </c>
      <c r="DV46" s="132">
        <v>0.7</v>
      </c>
      <c r="DW46" s="132">
        <v>0.7</v>
      </c>
      <c r="DX46" s="132">
        <v>0.7</v>
      </c>
      <c r="DY46" s="132">
        <v>0</v>
      </c>
      <c r="DZ46" s="132">
        <v>0.7</v>
      </c>
      <c r="EA46" s="132">
        <v>0.7</v>
      </c>
      <c r="EB46" s="5">
        <f t="shared" si="31"/>
        <v>27.999999999999982</v>
      </c>
      <c r="EC46" s="5">
        <v>4</v>
      </c>
      <c r="ED46" s="5">
        <f t="shared" si="39"/>
        <v>32</v>
      </c>
      <c r="EE46" s="7">
        <f t="shared" si="40"/>
        <v>4.0000000000000178</v>
      </c>
      <c r="EF46" s="40" t="str">
        <f t="shared" si="41"/>
        <v/>
      </c>
      <c r="EG46" s="41" t="str">
        <f t="shared" si="42"/>
        <v/>
      </c>
    </row>
    <row r="47" spans="1:137" x14ac:dyDescent="0.25">
      <c r="A47" s="129" t="s">
        <v>265</v>
      </c>
      <c r="B47" s="129"/>
      <c r="C47" s="130">
        <v>41</v>
      </c>
      <c r="D47" s="131">
        <v>45914</v>
      </c>
      <c r="E47" s="132" t="s">
        <v>37</v>
      </c>
      <c r="F47" s="132" t="s">
        <v>37</v>
      </c>
      <c r="G47" s="132" t="s">
        <v>37</v>
      </c>
      <c r="H47" s="132" t="s">
        <v>37</v>
      </c>
      <c r="I47" s="132" t="s">
        <v>37</v>
      </c>
      <c r="J47" s="132" t="s">
        <v>37</v>
      </c>
      <c r="K47" s="132" t="s">
        <v>37</v>
      </c>
      <c r="L47" s="132" t="s">
        <v>37</v>
      </c>
      <c r="M47" s="139"/>
      <c r="N47" s="132" t="s">
        <v>37</v>
      </c>
      <c r="O47" s="132" t="s">
        <v>37</v>
      </c>
      <c r="P47" s="132" t="s">
        <v>37</v>
      </c>
      <c r="Q47" s="132" t="s">
        <v>37</v>
      </c>
      <c r="R47" s="132" t="s">
        <v>37</v>
      </c>
      <c r="S47" s="132" t="s">
        <v>37</v>
      </c>
      <c r="T47" s="132" t="s">
        <v>37</v>
      </c>
      <c r="U47" s="132" t="s">
        <v>37</v>
      </c>
      <c r="V47" s="139"/>
      <c r="W47" s="132" t="s">
        <v>37</v>
      </c>
      <c r="X47" s="132" t="s">
        <v>37</v>
      </c>
      <c r="Y47" s="132" t="s">
        <v>37</v>
      </c>
      <c r="Z47" s="132" t="s">
        <v>37</v>
      </c>
      <c r="AA47" s="132" t="s">
        <v>37</v>
      </c>
      <c r="AB47" s="132" t="s">
        <v>37</v>
      </c>
      <c r="AC47" s="132" t="s">
        <v>37</v>
      </c>
      <c r="AD47" s="132" t="s">
        <v>37</v>
      </c>
      <c r="AE47" s="132" t="s">
        <v>37</v>
      </c>
      <c r="AF47" s="139"/>
      <c r="AG47" s="132" t="s">
        <v>37</v>
      </c>
      <c r="AH47" s="132" t="s">
        <v>37</v>
      </c>
      <c r="AI47" s="132" t="s">
        <v>37</v>
      </c>
      <c r="AJ47" s="132" t="s">
        <v>37</v>
      </c>
      <c r="AK47" s="132" t="s">
        <v>37</v>
      </c>
      <c r="AL47" s="132" t="s">
        <v>37</v>
      </c>
      <c r="AM47" s="132" t="s">
        <v>37</v>
      </c>
      <c r="AN47" s="132" t="s">
        <v>37</v>
      </c>
      <c r="AO47" s="132" t="s">
        <v>37</v>
      </c>
      <c r="AP47" s="139"/>
      <c r="AQ47" s="132" t="s">
        <v>37</v>
      </c>
      <c r="AR47" s="132" t="s">
        <v>37</v>
      </c>
      <c r="AS47" s="132" t="s">
        <v>37</v>
      </c>
      <c r="AT47" s="132" t="s">
        <v>37</v>
      </c>
      <c r="AU47" s="132" t="s">
        <v>37</v>
      </c>
      <c r="AV47" s="132" t="s">
        <v>37</v>
      </c>
      <c r="AW47" s="132" t="s">
        <v>37</v>
      </c>
      <c r="AX47" s="132" t="s">
        <v>37</v>
      </c>
      <c r="AY47" s="132" t="s">
        <v>37</v>
      </c>
      <c r="AZ47" s="132" t="s">
        <v>37</v>
      </c>
      <c r="BA47" s="139"/>
      <c r="BB47" s="132" t="s">
        <v>37</v>
      </c>
      <c r="BC47" s="132" t="s">
        <v>37</v>
      </c>
      <c r="BD47" s="132" t="s">
        <v>37</v>
      </c>
      <c r="BE47" s="132" t="s">
        <v>37</v>
      </c>
      <c r="BF47" s="132" t="s">
        <v>37</v>
      </c>
      <c r="BG47" s="132" t="s">
        <v>37</v>
      </c>
      <c r="BH47" s="132" t="s">
        <v>37</v>
      </c>
      <c r="BI47" s="132" t="s">
        <v>37</v>
      </c>
      <c r="BJ47" s="132" t="s">
        <v>37</v>
      </c>
      <c r="BK47" s="132" t="s">
        <v>37</v>
      </c>
      <c r="BL47" s="132" t="s">
        <v>37</v>
      </c>
      <c r="BM47" s="132" t="s">
        <v>37</v>
      </c>
      <c r="BN47" s="132" t="s">
        <v>37</v>
      </c>
      <c r="BO47" s="132" t="s">
        <v>37</v>
      </c>
      <c r="BP47" s="139"/>
      <c r="BQ47" s="132" t="s">
        <v>37</v>
      </c>
      <c r="BR47" s="132" t="s">
        <v>37</v>
      </c>
      <c r="BS47" s="132" t="s">
        <v>37</v>
      </c>
      <c r="BT47" s="132" t="s">
        <v>37</v>
      </c>
      <c r="BU47" s="132" t="s">
        <v>37</v>
      </c>
      <c r="BV47" s="132" t="s">
        <v>37</v>
      </c>
      <c r="BW47" s="132" t="s">
        <v>37</v>
      </c>
      <c r="BX47" s="132" t="s">
        <v>37</v>
      </c>
      <c r="BY47" s="132" t="s">
        <v>37</v>
      </c>
      <c r="BZ47" s="132" t="s">
        <v>37</v>
      </c>
      <c r="CA47" s="139"/>
      <c r="CB47" s="132" t="s">
        <v>37</v>
      </c>
      <c r="CC47" s="132">
        <v>0.7</v>
      </c>
      <c r="CD47" s="132">
        <v>0.7</v>
      </c>
      <c r="CE47" s="132">
        <v>0.7</v>
      </c>
      <c r="CF47" s="132">
        <v>0.7</v>
      </c>
      <c r="CG47" s="132">
        <v>0.7</v>
      </c>
      <c r="CH47" s="132">
        <v>0.7</v>
      </c>
      <c r="CI47" s="132">
        <v>0.7</v>
      </c>
      <c r="CJ47" s="132">
        <v>0.7</v>
      </c>
      <c r="CK47" s="139"/>
      <c r="CL47" s="132">
        <v>0.7</v>
      </c>
      <c r="CM47" s="132">
        <v>0.7</v>
      </c>
      <c r="CN47" s="132">
        <v>0.7</v>
      </c>
      <c r="CO47" s="132">
        <v>0.7</v>
      </c>
      <c r="CP47" s="132">
        <v>0.7</v>
      </c>
      <c r="CQ47" s="132">
        <v>0</v>
      </c>
      <c r="CR47" s="132">
        <v>0</v>
      </c>
      <c r="CS47" s="132">
        <v>0.7</v>
      </c>
      <c r="CT47" s="132">
        <v>0.7</v>
      </c>
      <c r="CU47" s="132" t="s">
        <v>37</v>
      </c>
      <c r="CV47" s="132">
        <v>0.7</v>
      </c>
      <c r="CW47" s="132">
        <v>0.7</v>
      </c>
      <c r="CX47" s="132">
        <v>0</v>
      </c>
      <c r="CY47" s="139"/>
      <c r="CZ47" s="109">
        <v>0.7</v>
      </c>
      <c r="DA47" s="109" t="s">
        <v>37</v>
      </c>
      <c r="DB47" s="133" t="s">
        <v>37</v>
      </c>
      <c r="DC47" s="109">
        <v>0.7</v>
      </c>
      <c r="DD47" s="132">
        <v>0.7</v>
      </c>
      <c r="DE47" s="132">
        <v>0.7</v>
      </c>
      <c r="DF47" s="132">
        <v>0.7</v>
      </c>
      <c r="DG47" s="132">
        <v>0.7</v>
      </c>
      <c r="DH47" s="132">
        <v>0.7</v>
      </c>
      <c r="DI47" s="132">
        <v>0.7</v>
      </c>
      <c r="DJ47" s="132">
        <v>0.7</v>
      </c>
      <c r="DK47" s="132">
        <v>0.7</v>
      </c>
      <c r="DL47" s="149">
        <v>0.7</v>
      </c>
      <c r="DM47" s="139"/>
      <c r="DN47" s="132">
        <v>0.7</v>
      </c>
      <c r="DO47" s="132">
        <v>0.7</v>
      </c>
      <c r="DP47" s="109" t="s">
        <v>37</v>
      </c>
      <c r="DQ47" s="133" t="s">
        <v>37</v>
      </c>
      <c r="DR47" s="109" t="s">
        <v>37</v>
      </c>
      <c r="DS47" s="133" t="s">
        <v>37</v>
      </c>
      <c r="DT47" s="132">
        <v>0.7</v>
      </c>
      <c r="DU47" s="132">
        <v>0.7</v>
      </c>
      <c r="DV47" s="132">
        <v>0.7</v>
      </c>
      <c r="DW47" s="132">
        <v>0.7</v>
      </c>
      <c r="DX47" s="132">
        <v>0</v>
      </c>
      <c r="DY47" s="132">
        <v>0</v>
      </c>
      <c r="DZ47" s="132">
        <v>0.7</v>
      </c>
      <c r="EA47" s="132">
        <v>0.7</v>
      </c>
      <c r="EB47" s="5">
        <f t="shared" si="31"/>
        <v>25.199999999999985</v>
      </c>
      <c r="EC47" s="5">
        <v>3</v>
      </c>
      <c r="ED47" s="5">
        <f t="shared" si="39"/>
        <v>24</v>
      </c>
      <c r="EE47" s="7">
        <f t="shared" si="40"/>
        <v>-1.1999999999999851</v>
      </c>
      <c r="EF47" s="40" t="str">
        <f t="shared" si="41"/>
        <v>NO</v>
      </c>
      <c r="EG47" s="41" t="str">
        <f t="shared" si="42"/>
        <v>مسعودي محمد الفاتح</v>
      </c>
    </row>
    <row r="48" spans="1:137" x14ac:dyDescent="0.25">
      <c r="A48" s="129" t="s">
        <v>266</v>
      </c>
      <c r="B48" s="129"/>
      <c r="C48" s="130">
        <v>42</v>
      </c>
      <c r="D48" s="131">
        <v>45914</v>
      </c>
      <c r="E48" s="132" t="s">
        <v>37</v>
      </c>
      <c r="F48" s="132" t="s">
        <v>37</v>
      </c>
      <c r="G48" s="132" t="s">
        <v>37</v>
      </c>
      <c r="H48" s="132" t="s">
        <v>37</v>
      </c>
      <c r="I48" s="132" t="s">
        <v>37</v>
      </c>
      <c r="J48" s="132" t="s">
        <v>37</v>
      </c>
      <c r="K48" s="132" t="s">
        <v>37</v>
      </c>
      <c r="L48" s="132" t="s">
        <v>37</v>
      </c>
      <c r="M48" s="139"/>
      <c r="N48" s="132" t="s">
        <v>37</v>
      </c>
      <c r="O48" s="132" t="s">
        <v>37</v>
      </c>
      <c r="P48" s="132" t="s">
        <v>37</v>
      </c>
      <c r="Q48" s="132" t="s">
        <v>37</v>
      </c>
      <c r="R48" s="132" t="s">
        <v>37</v>
      </c>
      <c r="S48" s="132" t="s">
        <v>37</v>
      </c>
      <c r="T48" s="132" t="s">
        <v>37</v>
      </c>
      <c r="U48" s="132" t="s">
        <v>37</v>
      </c>
      <c r="V48" s="139"/>
      <c r="W48" s="132" t="s">
        <v>37</v>
      </c>
      <c r="X48" s="132" t="s">
        <v>37</v>
      </c>
      <c r="Y48" s="132" t="s">
        <v>37</v>
      </c>
      <c r="Z48" s="132" t="s">
        <v>37</v>
      </c>
      <c r="AA48" s="132" t="s">
        <v>37</v>
      </c>
      <c r="AB48" s="132" t="s">
        <v>37</v>
      </c>
      <c r="AC48" s="132" t="s">
        <v>37</v>
      </c>
      <c r="AD48" s="132" t="s">
        <v>37</v>
      </c>
      <c r="AE48" s="132" t="s">
        <v>37</v>
      </c>
      <c r="AF48" s="139"/>
      <c r="AG48" s="132" t="s">
        <v>37</v>
      </c>
      <c r="AH48" s="132" t="s">
        <v>37</v>
      </c>
      <c r="AI48" s="132" t="s">
        <v>37</v>
      </c>
      <c r="AJ48" s="132" t="s">
        <v>37</v>
      </c>
      <c r="AK48" s="132" t="s">
        <v>37</v>
      </c>
      <c r="AL48" s="132" t="s">
        <v>37</v>
      </c>
      <c r="AM48" s="132" t="s">
        <v>37</v>
      </c>
      <c r="AN48" s="132" t="s">
        <v>37</v>
      </c>
      <c r="AO48" s="132" t="s">
        <v>37</v>
      </c>
      <c r="AP48" s="139"/>
      <c r="AQ48" s="132" t="s">
        <v>37</v>
      </c>
      <c r="AR48" s="132" t="s">
        <v>37</v>
      </c>
      <c r="AS48" s="132" t="s">
        <v>37</v>
      </c>
      <c r="AT48" s="132" t="s">
        <v>37</v>
      </c>
      <c r="AU48" s="132" t="s">
        <v>37</v>
      </c>
      <c r="AV48" s="132" t="s">
        <v>37</v>
      </c>
      <c r="AW48" s="132" t="s">
        <v>37</v>
      </c>
      <c r="AX48" s="132" t="s">
        <v>37</v>
      </c>
      <c r="AY48" s="132" t="s">
        <v>37</v>
      </c>
      <c r="AZ48" s="132" t="s">
        <v>37</v>
      </c>
      <c r="BA48" s="139"/>
      <c r="BB48" s="132" t="s">
        <v>37</v>
      </c>
      <c r="BC48" s="132" t="s">
        <v>37</v>
      </c>
      <c r="BD48" s="132" t="s">
        <v>37</v>
      </c>
      <c r="BE48" s="132" t="s">
        <v>37</v>
      </c>
      <c r="BF48" s="132" t="s">
        <v>37</v>
      </c>
      <c r="BG48" s="132" t="s">
        <v>37</v>
      </c>
      <c r="BH48" s="132" t="s">
        <v>37</v>
      </c>
      <c r="BI48" s="132" t="s">
        <v>37</v>
      </c>
      <c r="BJ48" s="132" t="s">
        <v>37</v>
      </c>
      <c r="BK48" s="132" t="s">
        <v>37</v>
      </c>
      <c r="BL48" s="132" t="s">
        <v>37</v>
      </c>
      <c r="BM48" s="132" t="s">
        <v>37</v>
      </c>
      <c r="BN48" s="132" t="s">
        <v>37</v>
      </c>
      <c r="BO48" s="132" t="s">
        <v>37</v>
      </c>
      <c r="BP48" s="139"/>
      <c r="BQ48" s="132" t="s">
        <v>37</v>
      </c>
      <c r="BR48" s="132" t="s">
        <v>37</v>
      </c>
      <c r="BS48" s="132" t="s">
        <v>37</v>
      </c>
      <c r="BT48" s="132" t="s">
        <v>37</v>
      </c>
      <c r="BU48" s="132" t="s">
        <v>37</v>
      </c>
      <c r="BV48" s="132" t="s">
        <v>37</v>
      </c>
      <c r="BW48" s="132" t="s">
        <v>37</v>
      </c>
      <c r="BX48" s="132" t="s">
        <v>37</v>
      </c>
      <c r="BY48" s="132" t="s">
        <v>37</v>
      </c>
      <c r="BZ48" s="132" t="s">
        <v>37</v>
      </c>
      <c r="CA48" s="139"/>
      <c r="CB48" s="132" t="s">
        <v>37</v>
      </c>
      <c r="CC48" s="132">
        <v>0.7</v>
      </c>
      <c r="CD48" s="132">
        <v>0.7</v>
      </c>
      <c r="CE48" s="132">
        <v>0.7</v>
      </c>
      <c r="CF48" s="132">
        <v>0.7</v>
      </c>
      <c r="CG48" s="132">
        <v>0.7</v>
      </c>
      <c r="CH48" s="132">
        <v>0.7</v>
      </c>
      <c r="CI48" s="132">
        <v>0.7</v>
      </c>
      <c r="CJ48" s="132">
        <v>0.7</v>
      </c>
      <c r="CK48" s="139"/>
      <c r="CL48" s="132">
        <v>0.7</v>
      </c>
      <c r="CM48" s="132">
        <v>0.7</v>
      </c>
      <c r="CN48" s="132">
        <v>0.7</v>
      </c>
      <c r="CO48" s="132">
        <v>0.7</v>
      </c>
      <c r="CP48" s="132">
        <v>0.7</v>
      </c>
      <c r="CQ48" s="132">
        <v>0</v>
      </c>
      <c r="CR48" s="132">
        <v>0</v>
      </c>
      <c r="CS48" s="132">
        <v>0.7</v>
      </c>
      <c r="CT48" s="132">
        <v>0.7</v>
      </c>
      <c r="CU48" s="132" t="s">
        <v>37</v>
      </c>
      <c r="CV48" s="132">
        <v>0.7</v>
      </c>
      <c r="CW48" s="132">
        <v>0.7</v>
      </c>
      <c r="CX48" s="132">
        <v>0</v>
      </c>
      <c r="CY48" s="139"/>
      <c r="CZ48" s="109">
        <v>0.7</v>
      </c>
      <c r="DA48" s="109" t="s">
        <v>37</v>
      </c>
      <c r="DB48" s="133" t="s">
        <v>37</v>
      </c>
      <c r="DC48" s="109">
        <v>0.7</v>
      </c>
      <c r="DD48" s="132">
        <v>0.7</v>
      </c>
      <c r="DE48" s="132">
        <v>0.7</v>
      </c>
      <c r="DF48" s="132">
        <v>0.7</v>
      </c>
      <c r="DG48" s="132">
        <v>0.7</v>
      </c>
      <c r="DH48" s="132">
        <v>0.7</v>
      </c>
      <c r="DI48" s="132">
        <v>0.7</v>
      </c>
      <c r="DJ48" s="132">
        <v>0.7</v>
      </c>
      <c r="DK48" s="132">
        <v>0.7</v>
      </c>
      <c r="DL48" s="149">
        <v>0.7</v>
      </c>
      <c r="DM48" s="139"/>
      <c r="DN48" s="132">
        <v>0.7</v>
      </c>
      <c r="DO48" s="132">
        <v>0.7</v>
      </c>
      <c r="DP48" s="109" t="s">
        <v>37</v>
      </c>
      <c r="DQ48" s="133" t="s">
        <v>37</v>
      </c>
      <c r="DR48" s="109" t="s">
        <v>37</v>
      </c>
      <c r="DS48" s="133" t="s">
        <v>37</v>
      </c>
      <c r="DT48" s="132">
        <v>0.7</v>
      </c>
      <c r="DU48" s="132">
        <v>0.7</v>
      </c>
      <c r="DV48" s="132">
        <v>0.7</v>
      </c>
      <c r="DW48" s="132">
        <v>0.7</v>
      </c>
      <c r="DX48" s="132">
        <v>0</v>
      </c>
      <c r="DY48" s="132">
        <v>0</v>
      </c>
      <c r="DZ48" s="132">
        <v>0.7</v>
      </c>
      <c r="EA48" s="132">
        <v>0.7</v>
      </c>
      <c r="EB48" s="5">
        <f t="shared" si="31"/>
        <v>25.199999999999985</v>
      </c>
      <c r="EC48" s="5">
        <v>3</v>
      </c>
      <c r="ED48" s="5">
        <f t="shared" si="39"/>
        <v>24</v>
      </c>
      <c r="EE48" s="7">
        <f t="shared" si="40"/>
        <v>-1.1999999999999851</v>
      </c>
      <c r="EF48" s="40" t="str">
        <f t="shared" si="41"/>
        <v>NO</v>
      </c>
      <c r="EG48" s="41" t="str">
        <f t="shared" si="42"/>
        <v>مسعودي معتصم بالله</v>
      </c>
    </row>
    <row r="49" spans="1:137" x14ac:dyDescent="0.25">
      <c r="A49" s="129" t="s">
        <v>270</v>
      </c>
      <c r="B49" s="129"/>
      <c r="C49" s="130">
        <v>43</v>
      </c>
      <c r="D49" s="131">
        <v>45916</v>
      </c>
      <c r="E49" s="132" t="s">
        <v>37</v>
      </c>
      <c r="F49" s="132" t="s">
        <v>37</v>
      </c>
      <c r="G49" s="132" t="s">
        <v>37</v>
      </c>
      <c r="H49" s="132" t="s">
        <v>37</v>
      </c>
      <c r="I49" s="132" t="s">
        <v>37</v>
      </c>
      <c r="J49" s="132" t="s">
        <v>37</v>
      </c>
      <c r="K49" s="132" t="s">
        <v>37</v>
      </c>
      <c r="L49" s="132" t="s">
        <v>37</v>
      </c>
      <c r="M49" s="139"/>
      <c r="N49" s="132" t="s">
        <v>37</v>
      </c>
      <c r="O49" s="132" t="s">
        <v>37</v>
      </c>
      <c r="P49" s="132" t="s">
        <v>37</v>
      </c>
      <c r="Q49" s="132" t="s">
        <v>37</v>
      </c>
      <c r="R49" s="132" t="s">
        <v>37</v>
      </c>
      <c r="S49" s="132" t="s">
        <v>37</v>
      </c>
      <c r="T49" s="132" t="s">
        <v>37</v>
      </c>
      <c r="U49" s="132" t="s">
        <v>37</v>
      </c>
      <c r="V49" s="139"/>
      <c r="W49" s="132" t="s">
        <v>37</v>
      </c>
      <c r="X49" s="132" t="s">
        <v>37</v>
      </c>
      <c r="Y49" s="132" t="s">
        <v>37</v>
      </c>
      <c r="Z49" s="132" t="s">
        <v>37</v>
      </c>
      <c r="AA49" s="132" t="s">
        <v>37</v>
      </c>
      <c r="AB49" s="132" t="s">
        <v>37</v>
      </c>
      <c r="AC49" s="132" t="s">
        <v>37</v>
      </c>
      <c r="AD49" s="132" t="s">
        <v>37</v>
      </c>
      <c r="AE49" s="132" t="s">
        <v>37</v>
      </c>
      <c r="AF49" s="139"/>
      <c r="AG49" s="132" t="s">
        <v>37</v>
      </c>
      <c r="AH49" s="132" t="s">
        <v>37</v>
      </c>
      <c r="AI49" s="132" t="s">
        <v>37</v>
      </c>
      <c r="AJ49" s="132" t="s">
        <v>37</v>
      </c>
      <c r="AK49" s="132" t="s">
        <v>37</v>
      </c>
      <c r="AL49" s="132" t="s">
        <v>37</v>
      </c>
      <c r="AM49" s="132" t="s">
        <v>37</v>
      </c>
      <c r="AN49" s="132" t="s">
        <v>37</v>
      </c>
      <c r="AO49" s="132" t="s">
        <v>37</v>
      </c>
      <c r="AP49" s="139"/>
      <c r="AQ49" s="132" t="s">
        <v>37</v>
      </c>
      <c r="AR49" s="132" t="s">
        <v>37</v>
      </c>
      <c r="AS49" s="132" t="s">
        <v>37</v>
      </c>
      <c r="AT49" s="132" t="s">
        <v>37</v>
      </c>
      <c r="AU49" s="132" t="s">
        <v>37</v>
      </c>
      <c r="AV49" s="132" t="s">
        <v>37</v>
      </c>
      <c r="AW49" s="132" t="s">
        <v>37</v>
      </c>
      <c r="AX49" s="132" t="s">
        <v>37</v>
      </c>
      <c r="AY49" s="132" t="s">
        <v>37</v>
      </c>
      <c r="AZ49" s="132" t="s">
        <v>37</v>
      </c>
      <c r="BA49" s="139"/>
      <c r="BB49" s="132" t="s">
        <v>37</v>
      </c>
      <c r="BC49" s="132" t="s">
        <v>37</v>
      </c>
      <c r="BD49" s="132" t="s">
        <v>37</v>
      </c>
      <c r="BE49" s="132" t="s">
        <v>37</v>
      </c>
      <c r="BF49" s="132" t="s">
        <v>37</v>
      </c>
      <c r="BG49" s="132" t="s">
        <v>37</v>
      </c>
      <c r="BH49" s="132" t="s">
        <v>37</v>
      </c>
      <c r="BI49" s="132" t="s">
        <v>37</v>
      </c>
      <c r="BJ49" s="132" t="s">
        <v>37</v>
      </c>
      <c r="BK49" s="132" t="s">
        <v>37</v>
      </c>
      <c r="BL49" s="132" t="s">
        <v>37</v>
      </c>
      <c r="BM49" s="132" t="s">
        <v>37</v>
      </c>
      <c r="BN49" s="132" t="s">
        <v>37</v>
      </c>
      <c r="BO49" s="132" t="s">
        <v>37</v>
      </c>
      <c r="BP49" s="139"/>
      <c r="BQ49" s="132" t="s">
        <v>37</v>
      </c>
      <c r="BR49" s="132" t="s">
        <v>37</v>
      </c>
      <c r="BS49" s="132" t="s">
        <v>37</v>
      </c>
      <c r="BT49" s="132" t="s">
        <v>37</v>
      </c>
      <c r="BU49" s="132" t="s">
        <v>37</v>
      </c>
      <c r="BV49" s="132" t="s">
        <v>37</v>
      </c>
      <c r="BW49" s="132" t="s">
        <v>37</v>
      </c>
      <c r="BX49" s="132" t="s">
        <v>37</v>
      </c>
      <c r="BY49" s="132" t="s">
        <v>37</v>
      </c>
      <c r="BZ49" s="132" t="s">
        <v>37</v>
      </c>
      <c r="CA49" s="139"/>
      <c r="CB49" s="132" t="s">
        <v>37</v>
      </c>
      <c r="CC49" s="132" t="s">
        <v>37</v>
      </c>
      <c r="CD49" s="132">
        <v>0.7</v>
      </c>
      <c r="CE49" s="132">
        <v>0</v>
      </c>
      <c r="CF49" s="132">
        <v>0.7</v>
      </c>
      <c r="CG49" s="132">
        <v>0.7</v>
      </c>
      <c r="CH49" s="132">
        <v>0.7</v>
      </c>
      <c r="CI49" s="132">
        <v>0.7</v>
      </c>
      <c r="CJ49" s="132">
        <v>0</v>
      </c>
      <c r="CK49" s="139"/>
      <c r="CL49" s="132">
        <v>0.7</v>
      </c>
      <c r="CM49" s="132">
        <v>0.7</v>
      </c>
      <c r="CN49" s="132">
        <v>0.7</v>
      </c>
      <c r="CO49" s="132">
        <v>0.7</v>
      </c>
      <c r="CP49" s="132">
        <v>0.7</v>
      </c>
      <c r="CQ49" s="132">
        <v>0</v>
      </c>
      <c r="CR49" s="132">
        <v>0.7</v>
      </c>
      <c r="CS49" s="132">
        <v>0.7</v>
      </c>
      <c r="CT49" s="132">
        <v>0.7</v>
      </c>
      <c r="CU49" s="132" t="s">
        <v>37</v>
      </c>
      <c r="CV49" s="132">
        <v>0.7</v>
      </c>
      <c r="CW49" s="132">
        <v>0.7</v>
      </c>
      <c r="CX49" s="132">
        <v>0.7</v>
      </c>
      <c r="CY49" s="139"/>
      <c r="CZ49" s="109">
        <v>0.7</v>
      </c>
      <c r="DA49" s="109" t="s">
        <v>37</v>
      </c>
      <c r="DB49" s="133" t="s">
        <v>37</v>
      </c>
      <c r="DC49" s="109">
        <v>0.7</v>
      </c>
      <c r="DD49" s="132">
        <v>0.7</v>
      </c>
      <c r="DE49" s="132">
        <v>0.7</v>
      </c>
      <c r="DF49" s="132">
        <v>0.7</v>
      </c>
      <c r="DG49" s="132">
        <v>0.7</v>
      </c>
      <c r="DH49" s="132">
        <v>0.7</v>
      </c>
      <c r="DI49" s="132">
        <v>0.7</v>
      </c>
      <c r="DJ49" s="132">
        <v>0.7</v>
      </c>
      <c r="DK49" s="132">
        <v>0.7</v>
      </c>
      <c r="DL49" s="132">
        <v>0.7</v>
      </c>
      <c r="DM49" s="139"/>
      <c r="DN49" s="132">
        <v>0.7</v>
      </c>
      <c r="DO49" s="132">
        <v>0.7</v>
      </c>
      <c r="DP49" s="109" t="s">
        <v>37</v>
      </c>
      <c r="DQ49" s="133" t="s">
        <v>37</v>
      </c>
      <c r="DR49" s="109" t="s">
        <v>37</v>
      </c>
      <c r="DS49" s="133" t="s">
        <v>37</v>
      </c>
      <c r="DT49" s="132">
        <v>0.7</v>
      </c>
      <c r="DU49" s="132">
        <v>0.7</v>
      </c>
      <c r="DV49" s="132">
        <v>0.7</v>
      </c>
      <c r="DW49" s="132">
        <v>0.7</v>
      </c>
      <c r="DX49" s="132">
        <v>0.7</v>
      </c>
      <c r="DY49" s="132">
        <v>0.7</v>
      </c>
      <c r="DZ49" s="132">
        <v>0</v>
      </c>
      <c r="EA49" s="132">
        <v>0.7</v>
      </c>
      <c r="EB49" s="5">
        <f t="shared" si="31"/>
        <v>25.199999999999985</v>
      </c>
      <c r="EC49" s="5">
        <v>4</v>
      </c>
      <c r="ED49" s="5">
        <f t="shared" si="39"/>
        <v>32</v>
      </c>
      <c r="EE49" s="7">
        <f t="shared" si="40"/>
        <v>6.8000000000000149</v>
      </c>
      <c r="EF49" s="40" t="str">
        <f t="shared" si="41"/>
        <v/>
      </c>
      <c r="EG49" s="41" t="str">
        <f t="shared" si="42"/>
        <v/>
      </c>
    </row>
    <row r="50" spans="1:137" x14ac:dyDescent="0.25">
      <c r="A50" s="129" t="s">
        <v>287</v>
      </c>
      <c r="B50" s="129"/>
      <c r="C50" s="130">
        <v>44</v>
      </c>
      <c r="D50" s="131"/>
      <c r="E50" s="132" t="s">
        <v>37</v>
      </c>
      <c r="F50" s="132" t="s">
        <v>37</v>
      </c>
      <c r="G50" s="132" t="s">
        <v>37</v>
      </c>
      <c r="H50" s="132" t="s">
        <v>37</v>
      </c>
      <c r="I50" s="132" t="s">
        <v>37</v>
      </c>
      <c r="J50" s="132" t="s">
        <v>37</v>
      </c>
      <c r="K50" s="132" t="s">
        <v>37</v>
      </c>
      <c r="L50" s="132" t="s">
        <v>37</v>
      </c>
      <c r="M50" s="139"/>
      <c r="N50" s="132" t="s">
        <v>37</v>
      </c>
      <c r="O50" s="132" t="s">
        <v>37</v>
      </c>
      <c r="P50" s="132" t="s">
        <v>37</v>
      </c>
      <c r="Q50" s="132" t="s">
        <v>37</v>
      </c>
      <c r="R50" s="132" t="s">
        <v>37</v>
      </c>
      <c r="S50" s="132" t="s">
        <v>37</v>
      </c>
      <c r="T50" s="132" t="s">
        <v>37</v>
      </c>
      <c r="U50" s="132" t="s">
        <v>37</v>
      </c>
      <c r="V50" s="139"/>
      <c r="W50" s="132" t="s">
        <v>37</v>
      </c>
      <c r="X50" s="132" t="s">
        <v>37</v>
      </c>
      <c r="Y50" s="132" t="s">
        <v>37</v>
      </c>
      <c r="Z50" s="132" t="s">
        <v>37</v>
      </c>
      <c r="AA50" s="132" t="s">
        <v>37</v>
      </c>
      <c r="AB50" s="132" t="s">
        <v>37</v>
      </c>
      <c r="AC50" s="132" t="s">
        <v>37</v>
      </c>
      <c r="AD50" s="132" t="s">
        <v>37</v>
      </c>
      <c r="AE50" s="132" t="s">
        <v>37</v>
      </c>
      <c r="AF50" s="139"/>
      <c r="AG50" s="132" t="s">
        <v>37</v>
      </c>
      <c r="AH50" s="132" t="s">
        <v>37</v>
      </c>
      <c r="AI50" s="132" t="s">
        <v>37</v>
      </c>
      <c r="AJ50" s="132" t="s">
        <v>37</v>
      </c>
      <c r="AK50" s="132" t="s">
        <v>37</v>
      </c>
      <c r="AL50" s="132" t="s">
        <v>37</v>
      </c>
      <c r="AM50" s="132" t="s">
        <v>37</v>
      </c>
      <c r="AN50" s="132" t="s">
        <v>37</v>
      </c>
      <c r="AO50" s="132" t="s">
        <v>37</v>
      </c>
      <c r="AP50" s="139"/>
      <c r="AQ50" s="132" t="s">
        <v>37</v>
      </c>
      <c r="AR50" s="132" t="s">
        <v>37</v>
      </c>
      <c r="AS50" s="132" t="s">
        <v>37</v>
      </c>
      <c r="AT50" s="132" t="s">
        <v>37</v>
      </c>
      <c r="AU50" s="132" t="s">
        <v>37</v>
      </c>
      <c r="AV50" s="132" t="s">
        <v>37</v>
      </c>
      <c r="AW50" s="132" t="s">
        <v>37</v>
      </c>
      <c r="AX50" s="132" t="s">
        <v>37</v>
      </c>
      <c r="AY50" s="132" t="s">
        <v>37</v>
      </c>
      <c r="AZ50" s="132" t="s">
        <v>37</v>
      </c>
      <c r="BA50" s="139"/>
      <c r="BB50" s="132" t="s">
        <v>37</v>
      </c>
      <c r="BC50" s="132" t="s">
        <v>37</v>
      </c>
      <c r="BD50" s="132" t="s">
        <v>37</v>
      </c>
      <c r="BE50" s="132" t="s">
        <v>37</v>
      </c>
      <c r="BF50" s="132" t="s">
        <v>37</v>
      </c>
      <c r="BG50" s="132" t="s">
        <v>37</v>
      </c>
      <c r="BH50" s="132" t="s">
        <v>37</v>
      </c>
      <c r="BI50" s="132" t="s">
        <v>37</v>
      </c>
      <c r="BJ50" s="132" t="s">
        <v>37</v>
      </c>
      <c r="BK50" s="132" t="s">
        <v>37</v>
      </c>
      <c r="BL50" s="132" t="s">
        <v>37</v>
      </c>
      <c r="BM50" s="132" t="s">
        <v>37</v>
      </c>
      <c r="BN50" s="132" t="s">
        <v>37</v>
      </c>
      <c r="BO50" s="132" t="s">
        <v>37</v>
      </c>
      <c r="BP50" s="139"/>
      <c r="BQ50" s="132" t="s">
        <v>37</v>
      </c>
      <c r="BR50" s="132" t="s">
        <v>37</v>
      </c>
      <c r="BS50" s="132" t="s">
        <v>37</v>
      </c>
      <c r="BT50" s="132" t="s">
        <v>37</v>
      </c>
      <c r="BU50" s="132" t="s">
        <v>37</v>
      </c>
      <c r="BV50" s="132" t="s">
        <v>37</v>
      </c>
      <c r="BW50" s="132" t="s">
        <v>37</v>
      </c>
      <c r="BX50" s="132" t="s">
        <v>37</v>
      </c>
      <c r="BY50" s="132" t="s">
        <v>37</v>
      </c>
      <c r="BZ50" s="132" t="s">
        <v>37</v>
      </c>
      <c r="CA50" s="139"/>
      <c r="CB50" s="132" t="s">
        <v>37</v>
      </c>
      <c r="CC50" s="132" t="s">
        <v>37</v>
      </c>
      <c r="CD50" s="132">
        <v>0.7</v>
      </c>
      <c r="CE50" s="132">
        <v>0.7</v>
      </c>
      <c r="CF50" s="132">
        <v>0.7</v>
      </c>
      <c r="CG50" s="132">
        <v>0.7</v>
      </c>
      <c r="CH50" s="132">
        <v>0.7</v>
      </c>
      <c r="CI50" s="132">
        <v>0.7</v>
      </c>
      <c r="CJ50" s="132">
        <v>0.7</v>
      </c>
      <c r="CK50" s="139"/>
      <c r="CL50" s="132">
        <v>0.7</v>
      </c>
      <c r="CM50" s="132">
        <v>0.7</v>
      </c>
      <c r="CN50" s="132">
        <v>0.7</v>
      </c>
      <c r="CO50" s="132">
        <v>0.7</v>
      </c>
      <c r="CP50" s="132">
        <v>0.7</v>
      </c>
      <c r="CQ50" s="132">
        <v>0.7</v>
      </c>
      <c r="CR50" s="132">
        <v>0.7</v>
      </c>
      <c r="CS50" s="132">
        <v>0.7</v>
      </c>
      <c r="CT50" s="132">
        <v>0.7</v>
      </c>
      <c r="CU50" s="132" t="s">
        <v>37</v>
      </c>
      <c r="CV50" s="132">
        <v>0.7</v>
      </c>
      <c r="CW50" s="132">
        <v>0.7</v>
      </c>
      <c r="CX50" s="132">
        <v>0.7</v>
      </c>
      <c r="CY50" s="139"/>
      <c r="CZ50" s="109">
        <v>0.7</v>
      </c>
      <c r="DA50" s="109" t="s">
        <v>37</v>
      </c>
      <c r="DB50" s="133" t="s">
        <v>37</v>
      </c>
      <c r="DC50" s="109">
        <v>0.7</v>
      </c>
      <c r="DD50" s="132">
        <v>0.7</v>
      </c>
      <c r="DE50" s="132">
        <v>0.7</v>
      </c>
      <c r="DF50" s="132">
        <v>0.7</v>
      </c>
      <c r="DG50" s="132">
        <v>0.7</v>
      </c>
      <c r="DH50" s="132">
        <v>0.7</v>
      </c>
      <c r="DI50" s="132">
        <v>0.7</v>
      </c>
      <c r="DJ50" s="132">
        <v>0.7</v>
      </c>
      <c r="DK50" s="132">
        <v>0.7</v>
      </c>
      <c r="DL50" s="149">
        <v>0.7</v>
      </c>
      <c r="DM50" s="139"/>
      <c r="DN50" s="132">
        <v>0.7</v>
      </c>
      <c r="DO50" s="132">
        <v>0.7</v>
      </c>
      <c r="DP50" s="109" t="s">
        <v>37</v>
      </c>
      <c r="DQ50" s="133" t="s">
        <v>37</v>
      </c>
      <c r="DR50" s="109" t="s">
        <v>37</v>
      </c>
      <c r="DS50" s="133" t="s">
        <v>37</v>
      </c>
      <c r="DT50" s="132">
        <v>0.7</v>
      </c>
      <c r="DU50" s="132">
        <v>0.7</v>
      </c>
      <c r="DV50" s="132">
        <v>0</v>
      </c>
      <c r="DW50" s="132">
        <v>0</v>
      </c>
      <c r="DX50" s="132">
        <v>0</v>
      </c>
      <c r="DY50" s="132">
        <v>0</v>
      </c>
      <c r="DZ50" s="132">
        <v>0.7</v>
      </c>
      <c r="EA50" s="132">
        <v>0.7</v>
      </c>
      <c r="EB50" s="5">
        <f t="shared" si="31"/>
        <v>25.199999999999985</v>
      </c>
      <c r="EC50" s="5">
        <v>3</v>
      </c>
      <c r="ED50" s="5">
        <f t="shared" si="36"/>
        <v>24</v>
      </c>
      <c r="EE50" s="7">
        <f t="shared" si="37"/>
        <v>-1.1999999999999851</v>
      </c>
      <c r="EF50" s="40" t="str">
        <f t="shared" si="38"/>
        <v>NO</v>
      </c>
      <c r="EG50" s="41" t="str">
        <f>IF(EE50&gt;0, "", A50)</f>
        <v>ذهب محمود</v>
      </c>
    </row>
    <row r="51" spans="1:137" x14ac:dyDescent="0.25">
      <c r="A51" s="129" t="s">
        <v>298</v>
      </c>
      <c r="B51" s="129"/>
      <c r="C51" s="130">
        <v>45</v>
      </c>
      <c r="D51" s="131"/>
      <c r="E51" s="132" t="s">
        <v>37</v>
      </c>
      <c r="F51" s="132" t="s">
        <v>37</v>
      </c>
      <c r="G51" s="132" t="s">
        <v>37</v>
      </c>
      <c r="H51" s="132" t="s">
        <v>37</v>
      </c>
      <c r="I51" s="132" t="s">
        <v>37</v>
      </c>
      <c r="J51" s="132" t="s">
        <v>37</v>
      </c>
      <c r="K51" s="132" t="s">
        <v>37</v>
      </c>
      <c r="L51" s="132" t="s">
        <v>37</v>
      </c>
      <c r="M51" s="139"/>
      <c r="N51" s="132" t="s">
        <v>37</v>
      </c>
      <c r="O51" s="132" t="s">
        <v>37</v>
      </c>
      <c r="P51" s="132" t="s">
        <v>37</v>
      </c>
      <c r="Q51" s="132" t="s">
        <v>37</v>
      </c>
      <c r="R51" s="132" t="s">
        <v>37</v>
      </c>
      <c r="S51" s="132" t="s">
        <v>37</v>
      </c>
      <c r="T51" s="132" t="s">
        <v>37</v>
      </c>
      <c r="U51" s="132" t="s">
        <v>37</v>
      </c>
      <c r="V51" s="139"/>
      <c r="W51" s="132" t="s">
        <v>37</v>
      </c>
      <c r="X51" s="132" t="s">
        <v>37</v>
      </c>
      <c r="Y51" s="132" t="s">
        <v>37</v>
      </c>
      <c r="Z51" s="132" t="s">
        <v>37</v>
      </c>
      <c r="AA51" s="132" t="s">
        <v>37</v>
      </c>
      <c r="AB51" s="132" t="s">
        <v>37</v>
      </c>
      <c r="AC51" s="132" t="s">
        <v>37</v>
      </c>
      <c r="AD51" s="132" t="s">
        <v>37</v>
      </c>
      <c r="AE51" s="132" t="s">
        <v>37</v>
      </c>
      <c r="AF51" s="139"/>
      <c r="AG51" s="132" t="s">
        <v>37</v>
      </c>
      <c r="AH51" s="132" t="s">
        <v>37</v>
      </c>
      <c r="AI51" s="132" t="s">
        <v>37</v>
      </c>
      <c r="AJ51" s="132" t="s">
        <v>37</v>
      </c>
      <c r="AK51" s="132" t="s">
        <v>37</v>
      </c>
      <c r="AL51" s="132" t="s">
        <v>37</v>
      </c>
      <c r="AM51" s="132" t="s">
        <v>37</v>
      </c>
      <c r="AN51" s="132" t="s">
        <v>37</v>
      </c>
      <c r="AO51" s="132" t="s">
        <v>37</v>
      </c>
      <c r="AP51" s="139"/>
      <c r="AQ51" s="132" t="s">
        <v>37</v>
      </c>
      <c r="AR51" s="132" t="s">
        <v>37</v>
      </c>
      <c r="AS51" s="132" t="s">
        <v>37</v>
      </c>
      <c r="AT51" s="132" t="s">
        <v>37</v>
      </c>
      <c r="AU51" s="132" t="s">
        <v>37</v>
      </c>
      <c r="AV51" s="132" t="s">
        <v>37</v>
      </c>
      <c r="AW51" s="132" t="s">
        <v>37</v>
      </c>
      <c r="AX51" s="132" t="s">
        <v>37</v>
      </c>
      <c r="AY51" s="132" t="s">
        <v>37</v>
      </c>
      <c r="AZ51" s="132" t="s">
        <v>37</v>
      </c>
      <c r="BA51" s="139"/>
      <c r="BB51" s="132" t="s">
        <v>37</v>
      </c>
      <c r="BC51" s="132" t="s">
        <v>37</v>
      </c>
      <c r="BD51" s="132" t="s">
        <v>37</v>
      </c>
      <c r="BE51" s="132" t="s">
        <v>37</v>
      </c>
      <c r="BF51" s="132" t="s">
        <v>37</v>
      </c>
      <c r="BG51" s="132" t="s">
        <v>37</v>
      </c>
      <c r="BH51" s="132" t="s">
        <v>37</v>
      </c>
      <c r="BI51" s="132" t="s">
        <v>37</v>
      </c>
      <c r="BJ51" s="132" t="s">
        <v>37</v>
      </c>
      <c r="BK51" s="132" t="s">
        <v>37</v>
      </c>
      <c r="BL51" s="132" t="s">
        <v>37</v>
      </c>
      <c r="BM51" s="132" t="s">
        <v>37</v>
      </c>
      <c r="BN51" s="132" t="s">
        <v>37</v>
      </c>
      <c r="BO51" s="132" t="s">
        <v>37</v>
      </c>
      <c r="BP51" s="139"/>
      <c r="BQ51" s="132" t="s">
        <v>37</v>
      </c>
      <c r="BR51" s="132" t="s">
        <v>37</v>
      </c>
      <c r="BS51" s="132" t="s">
        <v>37</v>
      </c>
      <c r="BT51" s="132" t="s">
        <v>37</v>
      </c>
      <c r="BU51" s="132" t="s">
        <v>37</v>
      </c>
      <c r="BV51" s="132" t="s">
        <v>37</v>
      </c>
      <c r="BW51" s="132" t="s">
        <v>37</v>
      </c>
      <c r="BX51" s="132" t="s">
        <v>37</v>
      </c>
      <c r="BY51" s="132" t="s">
        <v>37</v>
      </c>
      <c r="BZ51" s="132" t="s">
        <v>37</v>
      </c>
      <c r="CA51" s="139"/>
      <c r="CB51" s="132" t="s">
        <v>37</v>
      </c>
      <c r="CC51" s="132" t="s">
        <v>37</v>
      </c>
      <c r="CD51" s="132">
        <v>0</v>
      </c>
      <c r="CE51" s="132">
        <v>0</v>
      </c>
      <c r="CF51" s="132">
        <v>0</v>
      </c>
      <c r="CG51" s="132">
        <v>0</v>
      </c>
      <c r="CH51" s="132">
        <v>0</v>
      </c>
      <c r="CI51" s="132">
        <v>0</v>
      </c>
      <c r="CJ51" s="132">
        <v>0.7</v>
      </c>
      <c r="CK51" s="139"/>
      <c r="CL51" s="132">
        <v>0</v>
      </c>
      <c r="CM51" s="132">
        <v>0.7</v>
      </c>
      <c r="CN51" s="132">
        <v>0.7</v>
      </c>
      <c r="CO51" s="132">
        <v>0.7</v>
      </c>
      <c r="CP51" s="132">
        <v>0.7</v>
      </c>
      <c r="CQ51" s="132">
        <v>0.7</v>
      </c>
      <c r="CR51" s="132">
        <v>0</v>
      </c>
      <c r="CS51" s="132">
        <v>0.7</v>
      </c>
      <c r="CT51" s="132">
        <v>0.7</v>
      </c>
      <c r="CU51" s="132" t="s">
        <v>37</v>
      </c>
      <c r="CV51" s="132">
        <v>0.7</v>
      </c>
      <c r="CW51" s="132">
        <v>0.7</v>
      </c>
      <c r="CX51" s="132">
        <v>0.7</v>
      </c>
      <c r="CY51" s="139"/>
      <c r="CZ51" s="109">
        <v>0.7</v>
      </c>
      <c r="DA51" s="109" t="s">
        <v>37</v>
      </c>
      <c r="DB51" s="133" t="s">
        <v>37</v>
      </c>
      <c r="DC51" s="109">
        <v>0</v>
      </c>
      <c r="DD51" s="132">
        <v>0</v>
      </c>
      <c r="DE51" s="132">
        <v>0.7</v>
      </c>
      <c r="DF51" s="132">
        <v>0</v>
      </c>
      <c r="DG51" s="132">
        <v>0.7</v>
      </c>
      <c r="DH51" s="132">
        <v>0.7</v>
      </c>
      <c r="DI51" s="132">
        <v>0.7</v>
      </c>
      <c r="DJ51" s="132">
        <v>0.7</v>
      </c>
      <c r="DK51" s="132">
        <v>0.7</v>
      </c>
      <c r="DL51" s="132">
        <v>0.7</v>
      </c>
      <c r="DM51" s="139"/>
      <c r="DN51" s="132">
        <v>0.7</v>
      </c>
      <c r="DO51" s="132">
        <v>0.7</v>
      </c>
      <c r="DP51" s="109" t="s">
        <v>37</v>
      </c>
      <c r="DQ51" s="133" t="s">
        <v>37</v>
      </c>
      <c r="DR51" s="109" t="s">
        <v>37</v>
      </c>
      <c r="DS51" s="133" t="s">
        <v>37</v>
      </c>
      <c r="DT51" s="132">
        <v>0.7</v>
      </c>
      <c r="DU51" s="132">
        <v>0.7</v>
      </c>
      <c r="DV51" s="132">
        <v>0</v>
      </c>
      <c r="DW51" s="132">
        <v>0.7</v>
      </c>
      <c r="DX51" s="132">
        <v>0.7</v>
      </c>
      <c r="DY51" s="132">
        <v>0.7</v>
      </c>
      <c r="DZ51" s="132">
        <v>0.7</v>
      </c>
      <c r="EA51" s="132">
        <v>0.7</v>
      </c>
      <c r="EB51" s="5">
        <f t="shared" ref="EB51:EB53" si="43">SUM(E51:EA51)</f>
        <v>19.599999999999991</v>
      </c>
      <c r="EC51" s="5">
        <v>2</v>
      </c>
      <c r="ED51" s="5">
        <f t="shared" ref="ED51:ED53" si="44">EC51*8</f>
        <v>16</v>
      </c>
      <c r="EE51" s="7">
        <f t="shared" ref="EE51:EE53" si="45">ED51-EB51</f>
        <v>-3.5999999999999908</v>
      </c>
      <c r="EF51" s="40" t="str">
        <f t="shared" ref="EF51:EF53" si="46">IF(EE51&gt;0, "","NO")</f>
        <v>NO</v>
      </c>
      <c r="EG51" s="41" t="str">
        <f>IF(EE51&gt;0, "", A51)</f>
        <v>طاهر ايمان</v>
      </c>
    </row>
    <row r="52" spans="1:137" x14ac:dyDescent="0.25">
      <c r="A52" s="129" t="s">
        <v>315</v>
      </c>
      <c r="B52" s="129"/>
      <c r="C52" s="130">
        <v>46</v>
      </c>
      <c r="D52" s="131"/>
      <c r="E52" s="132" t="s">
        <v>37</v>
      </c>
      <c r="F52" s="132" t="s">
        <v>37</v>
      </c>
      <c r="G52" s="132" t="s">
        <v>37</v>
      </c>
      <c r="H52" s="132" t="s">
        <v>37</v>
      </c>
      <c r="I52" s="132" t="s">
        <v>37</v>
      </c>
      <c r="J52" s="132" t="s">
        <v>37</v>
      </c>
      <c r="K52" s="132" t="s">
        <v>37</v>
      </c>
      <c r="L52" s="132" t="s">
        <v>37</v>
      </c>
      <c r="M52" s="139"/>
      <c r="N52" s="132" t="s">
        <v>37</v>
      </c>
      <c r="O52" s="132" t="s">
        <v>37</v>
      </c>
      <c r="P52" s="132" t="s">
        <v>37</v>
      </c>
      <c r="Q52" s="132" t="s">
        <v>37</v>
      </c>
      <c r="R52" s="132" t="s">
        <v>37</v>
      </c>
      <c r="S52" s="132" t="s">
        <v>37</v>
      </c>
      <c r="T52" s="132" t="s">
        <v>37</v>
      </c>
      <c r="U52" s="132" t="s">
        <v>37</v>
      </c>
      <c r="V52" s="139"/>
      <c r="W52" s="132" t="s">
        <v>37</v>
      </c>
      <c r="X52" s="132" t="s">
        <v>37</v>
      </c>
      <c r="Y52" s="132" t="s">
        <v>37</v>
      </c>
      <c r="Z52" s="132" t="s">
        <v>37</v>
      </c>
      <c r="AA52" s="132" t="s">
        <v>37</v>
      </c>
      <c r="AB52" s="132" t="s">
        <v>37</v>
      </c>
      <c r="AC52" s="132" t="s">
        <v>37</v>
      </c>
      <c r="AD52" s="132" t="s">
        <v>37</v>
      </c>
      <c r="AE52" s="132" t="s">
        <v>37</v>
      </c>
      <c r="AF52" s="139"/>
      <c r="AG52" s="132" t="s">
        <v>37</v>
      </c>
      <c r="AH52" s="132" t="s">
        <v>37</v>
      </c>
      <c r="AI52" s="132" t="s">
        <v>37</v>
      </c>
      <c r="AJ52" s="132" t="s">
        <v>37</v>
      </c>
      <c r="AK52" s="132" t="s">
        <v>37</v>
      </c>
      <c r="AL52" s="132" t="s">
        <v>37</v>
      </c>
      <c r="AM52" s="132" t="s">
        <v>37</v>
      </c>
      <c r="AN52" s="132" t="s">
        <v>37</v>
      </c>
      <c r="AO52" s="132" t="s">
        <v>37</v>
      </c>
      <c r="AP52" s="139"/>
      <c r="AQ52" s="132" t="s">
        <v>37</v>
      </c>
      <c r="AR52" s="132" t="s">
        <v>37</v>
      </c>
      <c r="AS52" s="132" t="s">
        <v>37</v>
      </c>
      <c r="AT52" s="132" t="s">
        <v>37</v>
      </c>
      <c r="AU52" s="132" t="s">
        <v>37</v>
      </c>
      <c r="AV52" s="132" t="s">
        <v>37</v>
      </c>
      <c r="AW52" s="132" t="s">
        <v>37</v>
      </c>
      <c r="AX52" s="132" t="s">
        <v>37</v>
      </c>
      <c r="AY52" s="132" t="s">
        <v>37</v>
      </c>
      <c r="AZ52" s="132" t="s">
        <v>37</v>
      </c>
      <c r="BA52" s="139"/>
      <c r="BB52" s="132" t="s">
        <v>37</v>
      </c>
      <c r="BC52" s="132" t="s">
        <v>37</v>
      </c>
      <c r="BD52" s="132" t="s">
        <v>37</v>
      </c>
      <c r="BE52" s="132" t="s">
        <v>37</v>
      </c>
      <c r="BF52" s="132" t="s">
        <v>37</v>
      </c>
      <c r="BG52" s="132" t="s">
        <v>37</v>
      </c>
      <c r="BH52" s="132" t="s">
        <v>37</v>
      </c>
      <c r="BI52" s="132" t="s">
        <v>37</v>
      </c>
      <c r="BJ52" s="132" t="s">
        <v>37</v>
      </c>
      <c r="BK52" s="132" t="s">
        <v>37</v>
      </c>
      <c r="BL52" s="132" t="s">
        <v>37</v>
      </c>
      <c r="BM52" s="132" t="s">
        <v>37</v>
      </c>
      <c r="BN52" s="132" t="s">
        <v>37</v>
      </c>
      <c r="BO52" s="132" t="s">
        <v>37</v>
      </c>
      <c r="BP52" s="139"/>
      <c r="BQ52" s="132" t="s">
        <v>37</v>
      </c>
      <c r="BR52" s="132" t="s">
        <v>37</v>
      </c>
      <c r="BS52" s="132" t="s">
        <v>37</v>
      </c>
      <c r="BT52" s="132" t="s">
        <v>37</v>
      </c>
      <c r="BU52" s="132" t="s">
        <v>37</v>
      </c>
      <c r="BV52" s="132" t="s">
        <v>37</v>
      </c>
      <c r="BW52" s="132" t="s">
        <v>37</v>
      </c>
      <c r="BX52" s="132" t="s">
        <v>37</v>
      </c>
      <c r="BY52" s="132" t="s">
        <v>37</v>
      </c>
      <c r="BZ52" s="132" t="s">
        <v>37</v>
      </c>
      <c r="CA52" s="139"/>
      <c r="CB52" s="132" t="s">
        <v>37</v>
      </c>
      <c r="CC52" s="132" t="s">
        <v>37</v>
      </c>
      <c r="CD52" s="132" t="s">
        <v>37</v>
      </c>
      <c r="CE52" s="132" t="s">
        <v>37</v>
      </c>
      <c r="CF52" s="132" t="s">
        <v>37</v>
      </c>
      <c r="CG52" s="132" t="s">
        <v>37</v>
      </c>
      <c r="CH52" s="132" t="s">
        <v>37</v>
      </c>
      <c r="CI52" s="132" t="s">
        <v>37</v>
      </c>
      <c r="CJ52" s="132" t="s">
        <v>37</v>
      </c>
      <c r="CK52" s="139"/>
      <c r="CL52" s="132" t="s">
        <v>37</v>
      </c>
      <c r="CM52" s="132">
        <v>0.7</v>
      </c>
      <c r="CN52" s="132">
        <v>0.7</v>
      </c>
      <c r="CO52" s="132">
        <v>0.7</v>
      </c>
      <c r="CP52" s="132">
        <v>0.7</v>
      </c>
      <c r="CQ52" s="132">
        <v>0.7</v>
      </c>
      <c r="CR52" s="132">
        <v>0.7</v>
      </c>
      <c r="CS52" s="132">
        <v>0</v>
      </c>
      <c r="CT52" s="132">
        <v>0.7</v>
      </c>
      <c r="CU52" s="132" t="s">
        <v>37</v>
      </c>
      <c r="CV52" s="132">
        <v>0.7</v>
      </c>
      <c r="CW52" s="132">
        <v>0.7</v>
      </c>
      <c r="CX52" s="132">
        <v>0.7</v>
      </c>
      <c r="CY52" s="139"/>
      <c r="CZ52" s="109">
        <v>0.7</v>
      </c>
      <c r="DA52" s="109" t="s">
        <v>37</v>
      </c>
      <c r="DB52" s="133" t="s">
        <v>37</v>
      </c>
      <c r="DC52" s="109">
        <v>0.7</v>
      </c>
      <c r="DD52" s="132">
        <v>0.7</v>
      </c>
      <c r="DE52" s="132">
        <v>0.7</v>
      </c>
      <c r="DF52" s="132">
        <v>0.7</v>
      </c>
      <c r="DG52" s="132">
        <v>0.7</v>
      </c>
      <c r="DH52" s="132">
        <v>0.7</v>
      </c>
      <c r="DI52" s="132">
        <v>0.7</v>
      </c>
      <c r="DJ52" s="132">
        <v>0</v>
      </c>
      <c r="DK52" s="132">
        <v>0.7</v>
      </c>
      <c r="DL52" s="149">
        <v>0.7</v>
      </c>
      <c r="DM52" s="139"/>
      <c r="DN52" s="132">
        <v>0.7</v>
      </c>
      <c r="DO52" s="132">
        <v>0.7</v>
      </c>
      <c r="DP52" s="109" t="s">
        <v>37</v>
      </c>
      <c r="DQ52" s="133" t="s">
        <v>37</v>
      </c>
      <c r="DR52" s="109" t="s">
        <v>37</v>
      </c>
      <c r="DS52" s="133" t="s">
        <v>37</v>
      </c>
      <c r="DT52" s="132">
        <v>0.7</v>
      </c>
      <c r="DU52" s="132">
        <v>0</v>
      </c>
      <c r="DV52" s="132">
        <v>0</v>
      </c>
      <c r="DW52" s="132">
        <v>0</v>
      </c>
      <c r="DX52" s="132">
        <v>0.7</v>
      </c>
      <c r="DY52" s="132">
        <v>0.7</v>
      </c>
      <c r="DZ52" s="132">
        <v>0.7</v>
      </c>
      <c r="EA52" s="132">
        <v>0.7</v>
      </c>
      <c r="EB52" s="5">
        <f t="shared" si="43"/>
        <v>18.899999999999991</v>
      </c>
      <c r="EC52" s="5">
        <v>3</v>
      </c>
      <c r="ED52" s="5">
        <f t="shared" si="44"/>
        <v>24</v>
      </c>
      <c r="EE52" s="7">
        <f t="shared" si="45"/>
        <v>5.1000000000000085</v>
      </c>
      <c r="EF52" s="40" t="str">
        <f t="shared" si="46"/>
        <v/>
      </c>
      <c r="EG52" s="41" t="str">
        <f>IF(EE52&gt;0, "", A52)</f>
        <v/>
      </c>
    </row>
    <row r="53" spans="1:137" x14ac:dyDescent="0.25">
      <c r="A53" s="129" t="s">
        <v>316</v>
      </c>
      <c r="B53" s="129"/>
      <c r="C53" s="130">
        <v>47</v>
      </c>
      <c r="D53" s="131"/>
      <c r="E53" s="132" t="s">
        <v>37</v>
      </c>
      <c r="F53" s="132" t="s">
        <v>37</v>
      </c>
      <c r="G53" s="132" t="s">
        <v>37</v>
      </c>
      <c r="H53" s="132" t="s">
        <v>37</v>
      </c>
      <c r="I53" s="132" t="s">
        <v>37</v>
      </c>
      <c r="J53" s="132" t="s">
        <v>37</v>
      </c>
      <c r="K53" s="132" t="s">
        <v>37</v>
      </c>
      <c r="L53" s="132" t="s">
        <v>37</v>
      </c>
      <c r="M53" s="139"/>
      <c r="N53" s="132" t="s">
        <v>37</v>
      </c>
      <c r="O53" s="132" t="s">
        <v>37</v>
      </c>
      <c r="P53" s="132" t="s">
        <v>37</v>
      </c>
      <c r="Q53" s="132" t="s">
        <v>37</v>
      </c>
      <c r="R53" s="132" t="s">
        <v>37</v>
      </c>
      <c r="S53" s="132" t="s">
        <v>37</v>
      </c>
      <c r="T53" s="132" t="s">
        <v>37</v>
      </c>
      <c r="U53" s="132" t="s">
        <v>37</v>
      </c>
      <c r="V53" s="139"/>
      <c r="W53" s="132" t="s">
        <v>37</v>
      </c>
      <c r="X53" s="132" t="s">
        <v>37</v>
      </c>
      <c r="Y53" s="132" t="s">
        <v>37</v>
      </c>
      <c r="Z53" s="132" t="s">
        <v>37</v>
      </c>
      <c r="AA53" s="132" t="s">
        <v>37</v>
      </c>
      <c r="AB53" s="132" t="s">
        <v>37</v>
      </c>
      <c r="AC53" s="132" t="s">
        <v>37</v>
      </c>
      <c r="AD53" s="132" t="s">
        <v>37</v>
      </c>
      <c r="AE53" s="132" t="s">
        <v>37</v>
      </c>
      <c r="AF53" s="139"/>
      <c r="AG53" s="132" t="s">
        <v>37</v>
      </c>
      <c r="AH53" s="132" t="s">
        <v>37</v>
      </c>
      <c r="AI53" s="132" t="s">
        <v>37</v>
      </c>
      <c r="AJ53" s="132" t="s">
        <v>37</v>
      </c>
      <c r="AK53" s="132" t="s">
        <v>37</v>
      </c>
      <c r="AL53" s="132" t="s">
        <v>37</v>
      </c>
      <c r="AM53" s="132" t="s">
        <v>37</v>
      </c>
      <c r="AN53" s="132" t="s">
        <v>37</v>
      </c>
      <c r="AO53" s="132" t="s">
        <v>37</v>
      </c>
      <c r="AP53" s="139"/>
      <c r="AQ53" s="132" t="s">
        <v>37</v>
      </c>
      <c r="AR53" s="132" t="s">
        <v>37</v>
      </c>
      <c r="AS53" s="132" t="s">
        <v>37</v>
      </c>
      <c r="AT53" s="132" t="s">
        <v>37</v>
      </c>
      <c r="AU53" s="132" t="s">
        <v>37</v>
      </c>
      <c r="AV53" s="132" t="s">
        <v>37</v>
      </c>
      <c r="AW53" s="132" t="s">
        <v>37</v>
      </c>
      <c r="AX53" s="132" t="s">
        <v>37</v>
      </c>
      <c r="AY53" s="132" t="s">
        <v>37</v>
      </c>
      <c r="AZ53" s="132" t="s">
        <v>37</v>
      </c>
      <c r="BA53" s="139"/>
      <c r="BB53" s="132" t="s">
        <v>37</v>
      </c>
      <c r="BC53" s="132" t="s">
        <v>37</v>
      </c>
      <c r="BD53" s="132" t="s">
        <v>37</v>
      </c>
      <c r="BE53" s="132" t="s">
        <v>37</v>
      </c>
      <c r="BF53" s="132" t="s">
        <v>37</v>
      </c>
      <c r="BG53" s="132" t="s">
        <v>37</v>
      </c>
      <c r="BH53" s="132" t="s">
        <v>37</v>
      </c>
      <c r="BI53" s="132" t="s">
        <v>37</v>
      </c>
      <c r="BJ53" s="132" t="s">
        <v>37</v>
      </c>
      <c r="BK53" s="132" t="s">
        <v>37</v>
      </c>
      <c r="BL53" s="132" t="s">
        <v>37</v>
      </c>
      <c r="BM53" s="132" t="s">
        <v>37</v>
      </c>
      <c r="BN53" s="132" t="s">
        <v>37</v>
      </c>
      <c r="BO53" s="132" t="s">
        <v>37</v>
      </c>
      <c r="BP53" s="139"/>
      <c r="BQ53" s="132" t="s">
        <v>37</v>
      </c>
      <c r="BR53" s="132" t="s">
        <v>37</v>
      </c>
      <c r="BS53" s="132" t="s">
        <v>37</v>
      </c>
      <c r="BT53" s="132" t="s">
        <v>37</v>
      </c>
      <c r="BU53" s="132" t="s">
        <v>37</v>
      </c>
      <c r="BV53" s="132" t="s">
        <v>37</v>
      </c>
      <c r="BW53" s="132" t="s">
        <v>37</v>
      </c>
      <c r="BX53" s="132" t="s">
        <v>37</v>
      </c>
      <c r="BY53" s="132" t="s">
        <v>37</v>
      </c>
      <c r="BZ53" s="132" t="s">
        <v>37</v>
      </c>
      <c r="CA53" s="139"/>
      <c r="CB53" s="132" t="s">
        <v>37</v>
      </c>
      <c r="CC53" s="132" t="s">
        <v>37</v>
      </c>
      <c r="CD53" s="132" t="s">
        <v>37</v>
      </c>
      <c r="CE53" s="132" t="s">
        <v>37</v>
      </c>
      <c r="CF53" s="132" t="s">
        <v>37</v>
      </c>
      <c r="CG53" s="132" t="s">
        <v>37</v>
      </c>
      <c r="CH53" s="132" t="s">
        <v>37</v>
      </c>
      <c r="CI53" s="132" t="s">
        <v>37</v>
      </c>
      <c r="CJ53" s="132" t="s">
        <v>37</v>
      </c>
      <c r="CK53" s="139"/>
      <c r="CL53" s="132" t="s">
        <v>37</v>
      </c>
      <c r="CM53" s="132">
        <v>0.7</v>
      </c>
      <c r="CN53" s="132">
        <v>0.7</v>
      </c>
      <c r="CO53" s="132">
        <v>0.7</v>
      </c>
      <c r="CP53" s="132">
        <v>0.7</v>
      </c>
      <c r="CQ53" s="132">
        <v>0.7</v>
      </c>
      <c r="CR53" s="132">
        <v>0.7</v>
      </c>
      <c r="CS53" s="132">
        <v>0</v>
      </c>
      <c r="CT53" s="132">
        <v>0</v>
      </c>
      <c r="CU53" s="132" t="s">
        <v>37</v>
      </c>
      <c r="CV53" s="132">
        <v>0.7</v>
      </c>
      <c r="CW53" s="132">
        <v>0.7</v>
      </c>
      <c r="CX53" s="132">
        <v>0.7</v>
      </c>
      <c r="CY53" s="139"/>
      <c r="CZ53" s="109">
        <v>0.7</v>
      </c>
      <c r="DA53" s="109" t="s">
        <v>37</v>
      </c>
      <c r="DB53" s="133" t="s">
        <v>37</v>
      </c>
      <c r="DC53" s="109">
        <v>0.7</v>
      </c>
      <c r="DD53" s="132">
        <v>0.7</v>
      </c>
      <c r="DE53" s="132">
        <v>0.7</v>
      </c>
      <c r="DF53" s="132">
        <v>0.7</v>
      </c>
      <c r="DG53" s="132">
        <v>0.7</v>
      </c>
      <c r="DH53" s="132">
        <v>0.7</v>
      </c>
      <c r="DI53" s="132">
        <v>0.7</v>
      </c>
      <c r="DJ53" s="132">
        <v>0</v>
      </c>
      <c r="DK53" s="132">
        <v>0.7</v>
      </c>
      <c r="DL53" s="149">
        <v>0.7</v>
      </c>
      <c r="DM53" s="139"/>
      <c r="DN53" s="132">
        <v>0.7</v>
      </c>
      <c r="DO53" s="132">
        <v>0.7</v>
      </c>
      <c r="DP53" s="109" t="s">
        <v>37</v>
      </c>
      <c r="DQ53" s="133" t="s">
        <v>37</v>
      </c>
      <c r="DR53" s="109" t="s">
        <v>37</v>
      </c>
      <c r="DS53" s="133" t="s">
        <v>37</v>
      </c>
      <c r="DT53" s="132">
        <v>0.7</v>
      </c>
      <c r="DU53" s="132">
        <v>0</v>
      </c>
      <c r="DV53" s="132">
        <v>0</v>
      </c>
      <c r="DW53" s="132">
        <v>0</v>
      </c>
      <c r="DX53" s="132">
        <v>0.7</v>
      </c>
      <c r="DY53" s="132">
        <v>0.7</v>
      </c>
      <c r="DZ53" s="132">
        <v>0.7</v>
      </c>
      <c r="EA53" s="132">
        <v>0</v>
      </c>
      <c r="EB53" s="5">
        <f t="shared" si="43"/>
        <v>17.499999999999993</v>
      </c>
      <c r="EC53" s="5">
        <v>3</v>
      </c>
      <c r="ED53" s="5">
        <f t="shared" si="44"/>
        <v>24</v>
      </c>
      <c r="EE53" s="7">
        <f t="shared" si="45"/>
        <v>6.5000000000000071</v>
      </c>
      <c r="EF53" s="40" t="str">
        <f t="shared" si="46"/>
        <v/>
      </c>
      <c r="EG53" s="41" t="str">
        <f>IF(EE53&gt;0, "", A53)</f>
        <v/>
      </c>
    </row>
    <row r="54" spans="1:137" x14ac:dyDescent="0.25">
      <c r="A54" s="129" t="s">
        <v>67</v>
      </c>
      <c r="B54" s="129"/>
      <c r="C54" s="130">
        <v>48</v>
      </c>
      <c r="D54" s="131"/>
      <c r="E54" s="132" t="s">
        <v>37</v>
      </c>
      <c r="F54" s="132" t="s">
        <v>37</v>
      </c>
      <c r="G54" s="132" t="s">
        <v>37</v>
      </c>
      <c r="H54" s="132" t="s">
        <v>37</v>
      </c>
      <c r="I54" s="132" t="s">
        <v>37</v>
      </c>
      <c r="J54" s="132" t="s">
        <v>37</v>
      </c>
      <c r="K54" s="132" t="s">
        <v>37</v>
      </c>
      <c r="L54" s="132" t="s">
        <v>37</v>
      </c>
      <c r="M54" s="139"/>
      <c r="N54" s="132" t="s">
        <v>37</v>
      </c>
      <c r="O54" s="132" t="s">
        <v>37</v>
      </c>
      <c r="P54" s="132" t="s">
        <v>37</v>
      </c>
      <c r="Q54" s="132" t="s">
        <v>37</v>
      </c>
      <c r="R54" s="132" t="s">
        <v>37</v>
      </c>
      <c r="S54" s="132" t="s">
        <v>37</v>
      </c>
      <c r="T54" s="132" t="s">
        <v>37</v>
      </c>
      <c r="U54" s="132" t="s">
        <v>37</v>
      </c>
      <c r="V54" s="139"/>
      <c r="W54" s="132" t="s">
        <v>37</v>
      </c>
      <c r="X54" s="132" t="s">
        <v>37</v>
      </c>
      <c r="Y54" s="132" t="s">
        <v>37</v>
      </c>
      <c r="Z54" s="132" t="s">
        <v>37</v>
      </c>
      <c r="AA54" s="132" t="s">
        <v>37</v>
      </c>
      <c r="AB54" s="132" t="s">
        <v>37</v>
      </c>
      <c r="AC54" s="132" t="s">
        <v>37</v>
      </c>
      <c r="AD54" s="132" t="s">
        <v>37</v>
      </c>
      <c r="AE54" s="132" t="s">
        <v>37</v>
      </c>
      <c r="AF54" s="139"/>
      <c r="AG54" s="132" t="s">
        <v>37</v>
      </c>
      <c r="AH54" s="132" t="s">
        <v>37</v>
      </c>
      <c r="AI54" s="132" t="s">
        <v>37</v>
      </c>
      <c r="AJ54" s="132" t="s">
        <v>37</v>
      </c>
      <c r="AK54" s="132" t="s">
        <v>37</v>
      </c>
      <c r="AL54" s="132" t="s">
        <v>37</v>
      </c>
      <c r="AM54" s="132" t="s">
        <v>37</v>
      </c>
      <c r="AN54" s="132" t="s">
        <v>37</v>
      </c>
      <c r="AO54" s="132" t="s">
        <v>37</v>
      </c>
      <c r="AP54" s="139"/>
      <c r="AQ54" s="132" t="s">
        <v>37</v>
      </c>
      <c r="AR54" s="132" t="s">
        <v>37</v>
      </c>
      <c r="AS54" s="132" t="s">
        <v>37</v>
      </c>
      <c r="AT54" s="132" t="s">
        <v>37</v>
      </c>
      <c r="AU54" s="132" t="s">
        <v>37</v>
      </c>
      <c r="AV54" s="132" t="s">
        <v>37</v>
      </c>
      <c r="AW54" s="132" t="s">
        <v>37</v>
      </c>
      <c r="AX54" s="132" t="s">
        <v>37</v>
      </c>
      <c r="AY54" s="132" t="s">
        <v>37</v>
      </c>
      <c r="AZ54" s="132" t="s">
        <v>37</v>
      </c>
      <c r="BA54" s="139"/>
      <c r="BB54" s="132" t="s">
        <v>37</v>
      </c>
      <c r="BC54" s="132" t="s">
        <v>37</v>
      </c>
      <c r="BD54" s="132" t="s">
        <v>37</v>
      </c>
      <c r="BE54" s="132" t="s">
        <v>37</v>
      </c>
      <c r="BF54" s="132" t="s">
        <v>37</v>
      </c>
      <c r="BG54" s="132" t="s">
        <v>37</v>
      </c>
      <c r="BH54" s="132" t="s">
        <v>37</v>
      </c>
      <c r="BI54" s="132" t="s">
        <v>37</v>
      </c>
      <c r="BJ54" s="132" t="s">
        <v>37</v>
      </c>
      <c r="BK54" s="132" t="s">
        <v>37</v>
      </c>
      <c r="BL54" s="132" t="s">
        <v>37</v>
      </c>
      <c r="BM54" s="132" t="s">
        <v>37</v>
      </c>
      <c r="BN54" s="132" t="s">
        <v>37</v>
      </c>
      <c r="BO54" s="132" t="s">
        <v>37</v>
      </c>
      <c r="BP54" s="139"/>
      <c r="BQ54" s="132" t="s">
        <v>37</v>
      </c>
      <c r="BR54" s="132" t="s">
        <v>37</v>
      </c>
      <c r="BS54" s="132" t="s">
        <v>37</v>
      </c>
      <c r="BT54" s="132" t="s">
        <v>37</v>
      </c>
      <c r="BU54" s="132" t="s">
        <v>37</v>
      </c>
      <c r="BV54" s="132" t="s">
        <v>37</v>
      </c>
      <c r="BW54" s="132" t="s">
        <v>37</v>
      </c>
      <c r="BX54" s="132" t="s">
        <v>37</v>
      </c>
      <c r="BY54" s="132" t="s">
        <v>37</v>
      </c>
      <c r="BZ54" s="132" t="s">
        <v>37</v>
      </c>
      <c r="CA54" s="139"/>
      <c r="CB54" s="132" t="s">
        <v>37</v>
      </c>
      <c r="CC54" s="132" t="s">
        <v>37</v>
      </c>
      <c r="CD54" s="132" t="s">
        <v>37</v>
      </c>
      <c r="CE54" s="132" t="s">
        <v>37</v>
      </c>
      <c r="CF54" s="132" t="s">
        <v>37</v>
      </c>
      <c r="CG54" s="132" t="s">
        <v>37</v>
      </c>
      <c r="CH54" s="132" t="s">
        <v>37</v>
      </c>
      <c r="CI54" s="132" t="s">
        <v>37</v>
      </c>
      <c r="CJ54" s="132" t="s">
        <v>37</v>
      </c>
      <c r="CK54" s="139"/>
      <c r="CL54" s="132" t="s">
        <v>37</v>
      </c>
      <c r="CM54" s="132" t="s">
        <v>37</v>
      </c>
      <c r="CN54" s="132" t="s">
        <v>37</v>
      </c>
      <c r="CO54" s="132">
        <v>0.7</v>
      </c>
      <c r="CP54" s="132">
        <v>0.7</v>
      </c>
      <c r="CQ54" s="132">
        <v>0.7</v>
      </c>
      <c r="CR54" s="132">
        <v>0.7</v>
      </c>
      <c r="CS54" s="132">
        <v>0.7</v>
      </c>
      <c r="CT54" s="132">
        <v>0.7</v>
      </c>
      <c r="CU54" s="132" t="s">
        <v>37</v>
      </c>
      <c r="CV54" s="132">
        <v>0</v>
      </c>
      <c r="CW54" s="132">
        <v>0</v>
      </c>
      <c r="CX54" s="132">
        <v>0</v>
      </c>
      <c r="CY54" s="139"/>
      <c r="CZ54" s="109">
        <v>0</v>
      </c>
      <c r="DA54" s="109" t="s">
        <v>37</v>
      </c>
      <c r="DB54" s="133" t="s">
        <v>37</v>
      </c>
      <c r="DC54" s="109">
        <v>0</v>
      </c>
      <c r="DD54" s="132">
        <v>0</v>
      </c>
      <c r="DE54" s="132">
        <v>0</v>
      </c>
      <c r="DF54" s="132">
        <v>0.7</v>
      </c>
      <c r="DG54" s="132">
        <v>0.7</v>
      </c>
      <c r="DH54" s="132">
        <v>0.7</v>
      </c>
      <c r="DI54" s="132">
        <v>0.7</v>
      </c>
      <c r="DJ54" s="132">
        <v>0.7</v>
      </c>
      <c r="DK54" s="132">
        <v>0.7</v>
      </c>
      <c r="DL54" s="132">
        <v>0.7</v>
      </c>
      <c r="DM54" s="139"/>
      <c r="DN54" s="132">
        <v>0.7</v>
      </c>
      <c r="DO54" s="132">
        <v>0.7</v>
      </c>
      <c r="DP54" s="109" t="s">
        <v>37</v>
      </c>
      <c r="DQ54" s="133" t="s">
        <v>37</v>
      </c>
      <c r="DR54" s="109" t="s">
        <v>37</v>
      </c>
      <c r="DS54" s="133" t="s">
        <v>37</v>
      </c>
      <c r="DT54" s="132">
        <v>0.7</v>
      </c>
      <c r="DU54" s="132">
        <v>0.7</v>
      </c>
      <c r="DV54" s="132">
        <v>0.7</v>
      </c>
      <c r="DW54" s="132">
        <v>0.7</v>
      </c>
      <c r="DX54" s="132">
        <v>0</v>
      </c>
      <c r="DY54" s="132">
        <v>0</v>
      </c>
      <c r="DZ54" s="132">
        <v>0</v>
      </c>
      <c r="EA54" s="132">
        <v>0</v>
      </c>
      <c r="EB54" s="5">
        <f t="shared" ref="EB54:EB56" si="47">SUM(E54:EA54)</f>
        <v>13.299999999999995</v>
      </c>
      <c r="EC54" s="5">
        <v>2</v>
      </c>
      <c r="ED54" s="5">
        <f t="shared" ref="ED54:ED56" si="48">EC54*8</f>
        <v>16</v>
      </c>
      <c r="EE54" s="7">
        <f t="shared" ref="EE54:EE56" si="49">ED54-EB54</f>
        <v>2.7000000000000046</v>
      </c>
      <c r="EF54" s="40" t="str">
        <f t="shared" ref="EF54:EF56" si="50">IF(EE54&gt;0, "","NO")</f>
        <v/>
      </c>
      <c r="EG54" s="41" t="str">
        <f t="shared" ref="EG54:EG56" si="51">IF(EE54&gt;0, "", A54)</f>
        <v/>
      </c>
    </row>
    <row r="55" spans="1:137" x14ac:dyDescent="0.25">
      <c r="A55" s="129" t="s">
        <v>68</v>
      </c>
      <c r="B55" s="129"/>
      <c r="C55" s="130">
        <v>49</v>
      </c>
      <c r="D55" s="131"/>
      <c r="E55" s="132" t="s">
        <v>37</v>
      </c>
      <c r="F55" s="132" t="s">
        <v>37</v>
      </c>
      <c r="G55" s="132" t="s">
        <v>37</v>
      </c>
      <c r="H55" s="132" t="s">
        <v>37</v>
      </c>
      <c r="I55" s="132" t="s">
        <v>37</v>
      </c>
      <c r="J55" s="132" t="s">
        <v>37</v>
      </c>
      <c r="K55" s="132" t="s">
        <v>37</v>
      </c>
      <c r="L55" s="132" t="s">
        <v>37</v>
      </c>
      <c r="M55" s="139"/>
      <c r="N55" s="132" t="s">
        <v>37</v>
      </c>
      <c r="O55" s="132" t="s">
        <v>37</v>
      </c>
      <c r="P55" s="132" t="s">
        <v>37</v>
      </c>
      <c r="Q55" s="132" t="s">
        <v>37</v>
      </c>
      <c r="R55" s="132" t="s">
        <v>37</v>
      </c>
      <c r="S55" s="132" t="s">
        <v>37</v>
      </c>
      <c r="T55" s="132" t="s">
        <v>37</v>
      </c>
      <c r="U55" s="132" t="s">
        <v>37</v>
      </c>
      <c r="V55" s="139"/>
      <c r="W55" s="132" t="s">
        <v>37</v>
      </c>
      <c r="X55" s="132" t="s">
        <v>37</v>
      </c>
      <c r="Y55" s="132" t="s">
        <v>37</v>
      </c>
      <c r="Z55" s="132" t="s">
        <v>37</v>
      </c>
      <c r="AA55" s="132" t="s">
        <v>37</v>
      </c>
      <c r="AB55" s="132" t="s">
        <v>37</v>
      </c>
      <c r="AC55" s="132" t="s">
        <v>37</v>
      </c>
      <c r="AD55" s="132" t="s">
        <v>37</v>
      </c>
      <c r="AE55" s="132" t="s">
        <v>37</v>
      </c>
      <c r="AF55" s="139"/>
      <c r="AG55" s="132" t="s">
        <v>37</v>
      </c>
      <c r="AH55" s="132" t="s">
        <v>37</v>
      </c>
      <c r="AI55" s="132" t="s">
        <v>37</v>
      </c>
      <c r="AJ55" s="132" t="s">
        <v>37</v>
      </c>
      <c r="AK55" s="132" t="s">
        <v>37</v>
      </c>
      <c r="AL55" s="132" t="s">
        <v>37</v>
      </c>
      <c r="AM55" s="132" t="s">
        <v>37</v>
      </c>
      <c r="AN55" s="132" t="s">
        <v>37</v>
      </c>
      <c r="AO55" s="132" t="s">
        <v>37</v>
      </c>
      <c r="AP55" s="139"/>
      <c r="AQ55" s="132" t="s">
        <v>37</v>
      </c>
      <c r="AR55" s="132" t="s">
        <v>37</v>
      </c>
      <c r="AS55" s="132" t="s">
        <v>37</v>
      </c>
      <c r="AT55" s="132" t="s">
        <v>37</v>
      </c>
      <c r="AU55" s="132" t="s">
        <v>37</v>
      </c>
      <c r="AV55" s="132" t="s">
        <v>37</v>
      </c>
      <c r="AW55" s="132" t="s">
        <v>37</v>
      </c>
      <c r="AX55" s="132" t="s">
        <v>37</v>
      </c>
      <c r="AY55" s="132" t="s">
        <v>37</v>
      </c>
      <c r="AZ55" s="132" t="s">
        <v>37</v>
      </c>
      <c r="BA55" s="139"/>
      <c r="BB55" s="132" t="s">
        <v>37</v>
      </c>
      <c r="BC55" s="132" t="s">
        <v>37</v>
      </c>
      <c r="BD55" s="132" t="s">
        <v>37</v>
      </c>
      <c r="BE55" s="132" t="s">
        <v>37</v>
      </c>
      <c r="BF55" s="132" t="s">
        <v>37</v>
      </c>
      <c r="BG55" s="132" t="s">
        <v>37</v>
      </c>
      <c r="BH55" s="132" t="s">
        <v>37</v>
      </c>
      <c r="BI55" s="132" t="s">
        <v>37</v>
      </c>
      <c r="BJ55" s="132" t="s">
        <v>37</v>
      </c>
      <c r="BK55" s="132" t="s">
        <v>37</v>
      </c>
      <c r="BL55" s="132" t="s">
        <v>37</v>
      </c>
      <c r="BM55" s="132" t="s">
        <v>37</v>
      </c>
      <c r="BN55" s="132" t="s">
        <v>37</v>
      </c>
      <c r="BO55" s="132" t="s">
        <v>37</v>
      </c>
      <c r="BP55" s="139"/>
      <c r="BQ55" s="132" t="s">
        <v>37</v>
      </c>
      <c r="BR55" s="132" t="s">
        <v>37</v>
      </c>
      <c r="BS55" s="132" t="s">
        <v>37</v>
      </c>
      <c r="BT55" s="132" t="s">
        <v>37</v>
      </c>
      <c r="BU55" s="132" t="s">
        <v>37</v>
      </c>
      <c r="BV55" s="132" t="s">
        <v>37</v>
      </c>
      <c r="BW55" s="132" t="s">
        <v>37</v>
      </c>
      <c r="BX55" s="132" t="s">
        <v>37</v>
      </c>
      <c r="BY55" s="132" t="s">
        <v>37</v>
      </c>
      <c r="BZ55" s="132" t="s">
        <v>37</v>
      </c>
      <c r="CA55" s="139"/>
      <c r="CB55" s="132" t="s">
        <v>37</v>
      </c>
      <c r="CC55" s="132" t="s">
        <v>37</v>
      </c>
      <c r="CD55" s="132" t="s">
        <v>37</v>
      </c>
      <c r="CE55" s="132" t="s">
        <v>37</v>
      </c>
      <c r="CF55" s="132" t="s">
        <v>37</v>
      </c>
      <c r="CG55" s="132" t="s">
        <v>37</v>
      </c>
      <c r="CH55" s="132" t="s">
        <v>37</v>
      </c>
      <c r="CI55" s="132" t="s">
        <v>37</v>
      </c>
      <c r="CJ55" s="132" t="s">
        <v>37</v>
      </c>
      <c r="CK55" s="139"/>
      <c r="CL55" s="132" t="s">
        <v>37</v>
      </c>
      <c r="CM55" s="132" t="s">
        <v>37</v>
      </c>
      <c r="CN55" s="132" t="s">
        <v>37</v>
      </c>
      <c r="CO55" s="132">
        <v>0.7</v>
      </c>
      <c r="CP55" s="132">
        <v>0.7</v>
      </c>
      <c r="CQ55" s="132">
        <v>0.7</v>
      </c>
      <c r="CR55" s="132">
        <v>0.7</v>
      </c>
      <c r="CS55" s="132">
        <v>0</v>
      </c>
      <c r="CT55" s="132">
        <v>0</v>
      </c>
      <c r="CU55" s="132" t="s">
        <v>37</v>
      </c>
      <c r="CV55" s="132">
        <v>0</v>
      </c>
      <c r="CW55" s="132">
        <v>0</v>
      </c>
      <c r="CX55" s="132">
        <v>0</v>
      </c>
      <c r="CY55" s="139"/>
      <c r="CZ55" s="109">
        <v>0</v>
      </c>
      <c r="DA55" s="109" t="s">
        <v>37</v>
      </c>
      <c r="DB55" s="133" t="s">
        <v>37</v>
      </c>
      <c r="DC55" s="109">
        <v>0</v>
      </c>
      <c r="DD55" s="132">
        <v>0</v>
      </c>
      <c r="DE55" s="132">
        <v>0</v>
      </c>
      <c r="DF55" s="132">
        <v>0.7</v>
      </c>
      <c r="DG55" s="132">
        <v>0.7</v>
      </c>
      <c r="DH55" s="132">
        <v>0</v>
      </c>
      <c r="DI55" s="132">
        <v>0.7</v>
      </c>
      <c r="DJ55" s="132">
        <v>0</v>
      </c>
      <c r="DK55" s="132">
        <v>0.7</v>
      </c>
      <c r="DL55" s="132">
        <v>0.7</v>
      </c>
      <c r="DM55" s="139"/>
      <c r="DN55" s="132">
        <v>0.7</v>
      </c>
      <c r="DO55" s="132">
        <v>0.7</v>
      </c>
      <c r="DP55" s="109" t="s">
        <v>37</v>
      </c>
      <c r="DQ55" s="133" t="s">
        <v>37</v>
      </c>
      <c r="DR55" s="109" t="s">
        <v>37</v>
      </c>
      <c r="DS55" s="133" t="s">
        <v>37</v>
      </c>
      <c r="DT55" s="132">
        <v>0.7</v>
      </c>
      <c r="DU55" s="132">
        <v>0</v>
      </c>
      <c r="DV55" s="132">
        <v>0.7</v>
      </c>
      <c r="DW55" s="132">
        <v>0.7</v>
      </c>
      <c r="DX55" s="132">
        <v>0</v>
      </c>
      <c r="DY55" s="132">
        <v>0</v>
      </c>
      <c r="DZ55" s="132">
        <v>0</v>
      </c>
      <c r="EA55" s="132">
        <v>0</v>
      </c>
      <c r="EB55" s="5">
        <f t="shared" si="47"/>
        <v>9.7999999999999989</v>
      </c>
      <c r="EC55" s="5">
        <v>2</v>
      </c>
      <c r="ED55" s="5">
        <f t="shared" si="48"/>
        <v>16</v>
      </c>
      <c r="EE55" s="7">
        <f t="shared" si="49"/>
        <v>6.2000000000000011</v>
      </c>
      <c r="EF55" s="40" t="str">
        <f t="shared" si="50"/>
        <v/>
      </c>
      <c r="EG55" s="41" t="str">
        <f t="shared" si="51"/>
        <v/>
      </c>
    </row>
    <row r="56" spans="1:137" x14ac:dyDescent="0.25">
      <c r="A56" s="129" t="s">
        <v>323</v>
      </c>
      <c r="B56" s="129"/>
      <c r="C56" s="130">
        <v>50</v>
      </c>
      <c r="D56" s="131"/>
      <c r="E56" s="132" t="s">
        <v>37</v>
      </c>
      <c r="F56" s="132" t="s">
        <v>37</v>
      </c>
      <c r="G56" s="132" t="s">
        <v>37</v>
      </c>
      <c r="H56" s="132" t="s">
        <v>37</v>
      </c>
      <c r="I56" s="132" t="s">
        <v>37</v>
      </c>
      <c r="J56" s="132" t="s">
        <v>37</v>
      </c>
      <c r="K56" s="132" t="s">
        <v>37</v>
      </c>
      <c r="L56" s="132" t="s">
        <v>37</v>
      </c>
      <c r="M56" s="139"/>
      <c r="N56" s="132" t="s">
        <v>37</v>
      </c>
      <c r="O56" s="132" t="s">
        <v>37</v>
      </c>
      <c r="P56" s="132" t="s">
        <v>37</v>
      </c>
      <c r="Q56" s="132" t="s">
        <v>37</v>
      </c>
      <c r="R56" s="132" t="s">
        <v>37</v>
      </c>
      <c r="S56" s="132" t="s">
        <v>37</v>
      </c>
      <c r="T56" s="132" t="s">
        <v>37</v>
      </c>
      <c r="U56" s="132" t="s">
        <v>37</v>
      </c>
      <c r="V56" s="139"/>
      <c r="W56" s="132" t="s">
        <v>37</v>
      </c>
      <c r="X56" s="132" t="s">
        <v>37</v>
      </c>
      <c r="Y56" s="132" t="s">
        <v>37</v>
      </c>
      <c r="Z56" s="132" t="s">
        <v>37</v>
      </c>
      <c r="AA56" s="132" t="s">
        <v>37</v>
      </c>
      <c r="AB56" s="132" t="s">
        <v>37</v>
      </c>
      <c r="AC56" s="132" t="s">
        <v>37</v>
      </c>
      <c r="AD56" s="132" t="s">
        <v>37</v>
      </c>
      <c r="AE56" s="132" t="s">
        <v>37</v>
      </c>
      <c r="AF56" s="139"/>
      <c r="AG56" s="132" t="s">
        <v>37</v>
      </c>
      <c r="AH56" s="132" t="s">
        <v>37</v>
      </c>
      <c r="AI56" s="132" t="s">
        <v>37</v>
      </c>
      <c r="AJ56" s="132" t="s">
        <v>37</v>
      </c>
      <c r="AK56" s="132" t="s">
        <v>37</v>
      </c>
      <c r="AL56" s="132" t="s">
        <v>37</v>
      </c>
      <c r="AM56" s="132" t="s">
        <v>37</v>
      </c>
      <c r="AN56" s="132" t="s">
        <v>37</v>
      </c>
      <c r="AO56" s="132" t="s">
        <v>37</v>
      </c>
      <c r="AP56" s="139"/>
      <c r="AQ56" s="132" t="s">
        <v>37</v>
      </c>
      <c r="AR56" s="132" t="s">
        <v>37</v>
      </c>
      <c r="AS56" s="132" t="s">
        <v>37</v>
      </c>
      <c r="AT56" s="132" t="s">
        <v>37</v>
      </c>
      <c r="AU56" s="132" t="s">
        <v>37</v>
      </c>
      <c r="AV56" s="132" t="s">
        <v>37</v>
      </c>
      <c r="AW56" s="132" t="s">
        <v>37</v>
      </c>
      <c r="AX56" s="132" t="s">
        <v>37</v>
      </c>
      <c r="AY56" s="132" t="s">
        <v>37</v>
      </c>
      <c r="AZ56" s="132" t="s">
        <v>37</v>
      </c>
      <c r="BA56" s="139"/>
      <c r="BB56" s="132" t="s">
        <v>37</v>
      </c>
      <c r="BC56" s="132" t="s">
        <v>37</v>
      </c>
      <c r="BD56" s="132" t="s">
        <v>37</v>
      </c>
      <c r="BE56" s="132" t="s">
        <v>37</v>
      </c>
      <c r="BF56" s="132" t="s">
        <v>37</v>
      </c>
      <c r="BG56" s="132" t="s">
        <v>37</v>
      </c>
      <c r="BH56" s="132" t="s">
        <v>37</v>
      </c>
      <c r="BI56" s="132" t="s">
        <v>37</v>
      </c>
      <c r="BJ56" s="132" t="s">
        <v>37</v>
      </c>
      <c r="BK56" s="132" t="s">
        <v>37</v>
      </c>
      <c r="BL56" s="132" t="s">
        <v>37</v>
      </c>
      <c r="BM56" s="132" t="s">
        <v>37</v>
      </c>
      <c r="BN56" s="132" t="s">
        <v>37</v>
      </c>
      <c r="BO56" s="132" t="s">
        <v>37</v>
      </c>
      <c r="BP56" s="139"/>
      <c r="BQ56" s="132" t="s">
        <v>37</v>
      </c>
      <c r="BR56" s="132" t="s">
        <v>37</v>
      </c>
      <c r="BS56" s="132" t="s">
        <v>37</v>
      </c>
      <c r="BT56" s="132" t="s">
        <v>37</v>
      </c>
      <c r="BU56" s="132" t="s">
        <v>37</v>
      </c>
      <c r="BV56" s="132" t="s">
        <v>37</v>
      </c>
      <c r="BW56" s="132" t="s">
        <v>37</v>
      </c>
      <c r="BX56" s="132" t="s">
        <v>37</v>
      </c>
      <c r="BY56" s="132" t="s">
        <v>37</v>
      </c>
      <c r="BZ56" s="132" t="s">
        <v>37</v>
      </c>
      <c r="CA56" s="139"/>
      <c r="CB56" s="132" t="s">
        <v>37</v>
      </c>
      <c r="CC56" s="132" t="s">
        <v>37</v>
      </c>
      <c r="CD56" s="132" t="s">
        <v>37</v>
      </c>
      <c r="CE56" s="132" t="s">
        <v>37</v>
      </c>
      <c r="CF56" s="132" t="s">
        <v>37</v>
      </c>
      <c r="CG56" s="132" t="s">
        <v>37</v>
      </c>
      <c r="CH56" s="132" t="s">
        <v>37</v>
      </c>
      <c r="CI56" s="132" t="s">
        <v>37</v>
      </c>
      <c r="CJ56" s="132" t="s">
        <v>37</v>
      </c>
      <c r="CK56" s="139"/>
      <c r="CL56" s="132" t="s">
        <v>37</v>
      </c>
      <c r="CM56" s="132" t="s">
        <v>37</v>
      </c>
      <c r="CN56" s="132" t="s">
        <v>37</v>
      </c>
      <c r="CO56" s="132" t="s">
        <v>37</v>
      </c>
      <c r="CP56" s="132" t="s">
        <v>37</v>
      </c>
      <c r="CQ56" s="132">
        <v>0.7</v>
      </c>
      <c r="CR56" s="132">
        <v>0.7</v>
      </c>
      <c r="CS56" s="132">
        <v>0.7</v>
      </c>
      <c r="CT56" s="132">
        <v>0</v>
      </c>
      <c r="CU56" s="132" t="s">
        <v>37</v>
      </c>
      <c r="CV56" s="132">
        <v>0.7</v>
      </c>
      <c r="CW56" s="132">
        <v>0.7</v>
      </c>
      <c r="CX56" s="132">
        <v>0.7</v>
      </c>
      <c r="CY56" s="139"/>
      <c r="CZ56" s="109">
        <v>0.7</v>
      </c>
      <c r="DA56" s="109" t="s">
        <v>37</v>
      </c>
      <c r="DB56" s="133" t="s">
        <v>37</v>
      </c>
      <c r="DC56" s="109">
        <v>0.7</v>
      </c>
      <c r="DD56" s="132">
        <v>0.7</v>
      </c>
      <c r="DE56" s="132">
        <v>0</v>
      </c>
      <c r="DF56" s="132">
        <v>0.7</v>
      </c>
      <c r="DG56" s="132">
        <v>0</v>
      </c>
      <c r="DH56" s="132">
        <v>0.7</v>
      </c>
      <c r="DI56" s="132">
        <v>0.7</v>
      </c>
      <c r="DJ56" s="132">
        <v>0</v>
      </c>
      <c r="DK56" s="132">
        <v>0.7</v>
      </c>
      <c r="DL56" s="149">
        <v>0.7</v>
      </c>
      <c r="DM56" s="139"/>
      <c r="DN56" s="132">
        <v>0</v>
      </c>
      <c r="DO56" s="132">
        <v>0.7</v>
      </c>
      <c r="DP56" s="109" t="s">
        <v>37</v>
      </c>
      <c r="DQ56" s="133" t="s">
        <v>37</v>
      </c>
      <c r="DR56" s="109" t="s">
        <v>37</v>
      </c>
      <c r="DS56" s="133" t="s">
        <v>37</v>
      </c>
      <c r="DT56" s="132">
        <v>0.7</v>
      </c>
      <c r="DU56" s="132">
        <v>0</v>
      </c>
      <c r="DV56" s="132">
        <v>0.7</v>
      </c>
      <c r="DW56" s="132">
        <v>0.7</v>
      </c>
      <c r="DX56" s="132">
        <v>0.7</v>
      </c>
      <c r="DY56" s="132">
        <v>0.7</v>
      </c>
      <c r="DZ56" s="132">
        <v>0</v>
      </c>
      <c r="EA56" s="132">
        <v>0.7</v>
      </c>
      <c r="EB56" s="5">
        <f t="shared" si="47"/>
        <v>14.699999999999994</v>
      </c>
      <c r="EC56" s="5">
        <v>2</v>
      </c>
      <c r="ED56" s="5">
        <f t="shared" si="48"/>
        <v>16</v>
      </c>
      <c r="EE56" s="7">
        <f t="shared" si="49"/>
        <v>1.300000000000006</v>
      </c>
      <c r="EF56" s="40" t="str">
        <f t="shared" si="50"/>
        <v/>
      </c>
      <c r="EG56" s="41" t="str">
        <f t="shared" si="51"/>
        <v/>
      </c>
    </row>
    <row r="57" spans="1:137" x14ac:dyDescent="0.25">
      <c r="A57" s="129" t="s">
        <v>325</v>
      </c>
      <c r="B57" s="129"/>
      <c r="C57" s="130">
        <v>51</v>
      </c>
      <c r="D57" s="131"/>
      <c r="E57" s="132" t="s">
        <v>37</v>
      </c>
      <c r="F57" s="132" t="s">
        <v>37</v>
      </c>
      <c r="G57" s="132" t="s">
        <v>37</v>
      </c>
      <c r="H57" s="132" t="s">
        <v>37</v>
      </c>
      <c r="I57" s="132" t="s">
        <v>37</v>
      </c>
      <c r="J57" s="132" t="s">
        <v>37</v>
      </c>
      <c r="K57" s="132" t="s">
        <v>37</v>
      </c>
      <c r="L57" s="132" t="s">
        <v>37</v>
      </c>
      <c r="M57" s="139"/>
      <c r="N57" s="132" t="s">
        <v>37</v>
      </c>
      <c r="O57" s="132" t="s">
        <v>37</v>
      </c>
      <c r="P57" s="132" t="s">
        <v>37</v>
      </c>
      <c r="Q57" s="132" t="s">
        <v>37</v>
      </c>
      <c r="R57" s="132" t="s">
        <v>37</v>
      </c>
      <c r="S57" s="132" t="s">
        <v>37</v>
      </c>
      <c r="T57" s="132" t="s">
        <v>37</v>
      </c>
      <c r="U57" s="132" t="s">
        <v>37</v>
      </c>
      <c r="V57" s="139"/>
      <c r="W57" s="132" t="s">
        <v>37</v>
      </c>
      <c r="X57" s="132" t="s">
        <v>37</v>
      </c>
      <c r="Y57" s="132" t="s">
        <v>37</v>
      </c>
      <c r="Z57" s="132" t="s">
        <v>37</v>
      </c>
      <c r="AA57" s="132" t="s">
        <v>37</v>
      </c>
      <c r="AB57" s="132" t="s">
        <v>37</v>
      </c>
      <c r="AC57" s="132" t="s">
        <v>37</v>
      </c>
      <c r="AD57" s="132" t="s">
        <v>37</v>
      </c>
      <c r="AE57" s="132" t="s">
        <v>37</v>
      </c>
      <c r="AF57" s="139"/>
      <c r="AG57" s="132" t="s">
        <v>37</v>
      </c>
      <c r="AH57" s="132" t="s">
        <v>37</v>
      </c>
      <c r="AI57" s="132" t="s">
        <v>37</v>
      </c>
      <c r="AJ57" s="132" t="s">
        <v>37</v>
      </c>
      <c r="AK57" s="132" t="s">
        <v>37</v>
      </c>
      <c r="AL57" s="132" t="s">
        <v>37</v>
      </c>
      <c r="AM57" s="132" t="s">
        <v>37</v>
      </c>
      <c r="AN57" s="132" t="s">
        <v>37</v>
      </c>
      <c r="AO57" s="132" t="s">
        <v>37</v>
      </c>
      <c r="AP57" s="139"/>
      <c r="AQ57" s="132" t="s">
        <v>37</v>
      </c>
      <c r="AR57" s="132" t="s">
        <v>37</v>
      </c>
      <c r="AS57" s="132" t="s">
        <v>37</v>
      </c>
      <c r="AT57" s="132" t="s">
        <v>37</v>
      </c>
      <c r="AU57" s="132" t="s">
        <v>37</v>
      </c>
      <c r="AV57" s="132" t="s">
        <v>37</v>
      </c>
      <c r="AW57" s="132" t="s">
        <v>37</v>
      </c>
      <c r="AX57" s="132" t="s">
        <v>37</v>
      </c>
      <c r="AY57" s="132" t="s">
        <v>37</v>
      </c>
      <c r="AZ57" s="132" t="s">
        <v>37</v>
      </c>
      <c r="BA57" s="139"/>
      <c r="BB57" s="132" t="s">
        <v>37</v>
      </c>
      <c r="BC57" s="132" t="s">
        <v>37</v>
      </c>
      <c r="BD57" s="132" t="s">
        <v>37</v>
      </c>
      <c r="BE57" s="132" t="s">
        <v>37</v>
      </c>
      <c r="BF57" s="132" t="s">
        <v>37</v>
      </c>
      <c r="BG57" s="132" t="s">
        <v>37</v>
      </c>
      <c r="BH57" s="132" t="s">
        <v>37</v>
      </c>
      <c r="BI57" s="132" t="s">
        <v>37</v>
      </c>
      <c r="BJ57" s="132" t="s">
        <v>37</v>
      </c>
      <c r="BK57" s="132" t="s">
        <v>37</v>
      </c>
      <c r="BL57" s="132" t="s">
        <v>37</v>
      </c>
      <c r="BM57" s="132" t="s">
        <v>37</v>
      </c>
      <c r="BN57" s="132" t="s">
        <v>37</v>
      </c>
      <c r="BO57" s="132" t="s">
        <v>37</v>
      </c>
      <c r="BP57" s="139"/>
      <c r="BQ57" s="132" t="s">
        <v>37</v>
      </c>
      <c r="BR57" s="132" t="s">
        <v>37</v>
      </c>
      <c r="BS57" s="132" t="s">
        <v>37</v>
      </c>
      <c r="BT57" s="132" t="s">
        <v>37</v>
      </c>
      <c r="BU57" s="132" t="s">
        <v>37</v>
      </c>
      <c r="BV57" s="132" t="s">
        <v>37</v>
      </c>
      <c r="BW57" s="132" t="s">
        <v>37</v>
      </c>
      <c r="BX57" s="132" t="s">
        <v>37</v>
      </c>
      <c r="BY57" s="132" t="s">
        <v>37</v>
      </c>
      <c r="BZ57" s="132" t="s">
        <v>37</v>
      </c>
      <c r="CA57" s="139"/>
      <c r="CB57" s="132" t="s">
        <v>37</v>
      </c>
      <c r="CC57" s="132" t="s">
        <v>37</v>
      </c>
      <c r="CD57" s="132" t="s">
        <v>37</v>
      </c>
      <c r="CE57" s="132" t="s">
        <v>37</v>
      </c>
      <c r="CF57" s="132" t="s">
        <v>37</v>
      </c>
      <c r="CG57" s="132" t="s">
        <v>37</v>
      </c>
      <c r="CH57" s="132" t="s">
        <v>37</v>
      </c>
      <c r="CI57" s="132" t="s">
        <v>37</v>
      </c>
      <c r="CJ57" s="132" t="s">
        <v>37</v>
      </c>
      <c r="CK57" s="139"/>
      <c r="CL57" s="132" t="s">
        <v>37</v>
      </c>
      <c r="CM57" s="132" t="s">
        <v>37</v>
      </c>
      <c r="CN57" s="132" t="s">
        <v>37</v>
      </c>
      <c r="CO57" s="132" t="s">
        <v>37</v>
      </c>
      <c r="CP57" s="132" t="s">
        <v>37</v>
      </c>
      <c r="CQ57" s="132" t="s">
        <v>37</v>
      </c>
      <c r="CR57" s="132" t="s">
        <v>37</v>
      </c>
      <c r="CS57" s="132" t="s">
        <v>37</v>
      </c>
      <c r="CT57" s="132" t="s">
        <v>37</v>
      </c>
      <c r="CU57" s="132" t="s">
        <v>37</v>
      </c>
      <c r="CV57" s="132">
        <v>0.7</v>
      </c>
      <c r="CW57" s="132">
        <v>0.7</v>
      </c>
      <c r="CX57" s="132">
        <v>0.7</v>
      </c>
      <c r="CY57" s="139"/>
      <c r="CZ57" s="109">
        <v>0.7</v>
      </c>
      <c r="DA57" s="109" t="s">
        <v>37</v>
      </c>
      <c r="DB57" s="133" t="s">
        <v>37</v>
      </c>
      <c r="DC57" s="109">
        <v>0.7</v>
      </c>
      <c r="DD57" s="132">
        <v>0.7</v>
      </c>
      <c r="DE57" s="132">
        <v>0.7</v>
      </c>
      <c r="DF57" s="132">
        <v>0.7</v>
      </c>
      <c r="DG57" s="132">
        <v>0</v>
      </c>
      <c r="DH57" s="132">
        <v>0.7</v>
      </c>
      <c r="DI57" s="132">
        <v>0.7</v>
      </c>
      <c r="DJ57" s="132">
        <v>0.7</v>
      </c>
      <c r="DK57" s="132">
        <v>0.7</v>
      </c>
      <c r="DL57" s="132">
        <v>0.7</v>
      </c>
      <c r="DM57" s="139"/>
      <c r="DN57" s="132">
        <v>0.7</v>
      </c>
      <c r="DO57" s="132">
        <v>0.7</v>
      </c>
      <c r="DP57" s="109" t="s">
        <v>37</v>
      </c>
      <c r="DQ57" s="133" t="s">
        <v>37</v>
      </c>
      <c r="DR57" s="109" t="s">
        <v>37</v>
      </c>
      <c r="DS57" s="133" t="s">
        <v>37</v>
      </c>
      <c r="DT57" s="132">
        <v>0.7</v>
      </c>
      <c r="DU57" s="132">
        <v>0.7</v>
      </c>
      <c r="DV57" s="132">
        <v>0</v>
      </c>
      <c r="DW57" s="132">
        <v>0.7</v>
      </c>
      <c r="DX57" s="132">
        <v>0.7</v>
      </c>
      <c r="DY57" s="132">
        <v>0.7</v>
      </c>
      <c r="DZ57" s="132">
        <v>0.7</v>
      </c>
      <c r="EA57" s="132">
        <v>0</v>
      </c>
      <c r="EB57" s="5">
        <f t="shared" ref="EB57" si="52">SUM(E57:EA57)</f>
        <v>14.699999999999994</v>
      </c>
      <c r="EC57" s="5">
        <v>2</v>
      </c>
      <c r="ED57" s="5">
        <f t="shared" ref="ED57" si="53">EC57*8</f>
        <v>16</v>
      </c>
      <c r="EE57" s="7">
        <f t="shared" ref="EE57" si="54">ED57-EB57</f>
        <v>1.300000000000006</v>
      </c>
      <c r="EF57" s="40" t="str">
        <f t="shared" ref="EF57" si="55">IF(EE57&gt;0, "","NO")</f>
        <v/>
      </c>
      <c r="EG57" s="41" t="str">
        <f t="shared" ref="EG57" si="56">IF(EE57&gt;0, "", A57)</f>
        <v/>
      </c>
    </row>
    <row r="58" spans="1:137" x14ac:dyDescent="0.25">
      <c r="A58" s="129" t="s">
        <v>326</v>
      </c>
      <c r="B58" s="129"/>
      <c r="C58" s="130">
        <v>52</v>
      </c>
      <c r="D58" s="131"/>
      <c r="E58" s="132" t="s">
        <v>37</v>
      </c>
      <c r="F58" s="132" t="s">
        <v>37</v>
      </c>
      <c r="G58" s="132" t="s">
        <v>37</v>
      </c>
      <c r="H58" s="132" t="s">
        <v>37</v>
      </c>
      <c r="I58" s="132" t="s">
        <v>37</v>
      </c>
      <c r="J58" s="132" t="s">
        <v>37</v>
      </c>
      <c r="K58" s="132" t="s">
        <v>37</v>
      </c>
      <c r="L58" s="132" t="s">
        <v>37</v>
      </c>
      <c r="M58" s="139"/>
      <c r="N58" s="132" t="s">
        <v>37</v>
      </c>
      <c r="O58" s="132" t="s">
        <v>37</v>
      </c>
      <c r="P58" s="132" t="s">
        <v>37</v>
      </c>
      <c r="Q58" s="132" t="s">
        <v>37</v>
      </c>
      <c r="R58" s="132" t="s">
        <v>37</v>
      </c>
      <c r="S58" s="132" t="s">
        <v>37</v>
      </c>
      <c r="T58" s="132" t="s">
        <v>37</v>
      </c>
      <c r="U58" s="132" t="s">
        <v>37</v>
      </c>
      <c r="V58" s="139"/>
      <c r="W58" s="132" t="s">
        <v>37</v>
      </c>
      <c r="X58" s="132" t="s">
        <v>37</v>
      </c>
      <c r="Y58" s="132" t="s">
        <v>37</v>
      </c>
      <c r="Z58" s="132" t="s">
        <v>37</v>
      </c>
      <c r="AA58" s="132" t="s">
        <v>37</v>
      </c>
      <c r="AB58" s="132" t="s">
        <v>37</v>
      </c>
      <c r="AC58" s="132" t="s">
        <v>37</v>
      </c>
      <c r="AD58" s="132" t="s">
        <v>37</v>
      </c>
      <c r="AE58" s="132" t="s">
        <v>37</v>
      </c>
      <c r="AF58" s="139"/>
      <c r="AG58" s="132" t="s">
        <v>37</v>
      </c>
      <c r="AH58" s="132" t="s">
        <v>37</v>
      </c>
      <c r="AI58" s="132" t="s">
        <v>37</v>
      </c>
      <c r="AJ58" s="132" t="s">
        <v>37</v>
      </c>
      <c r="AK58" s="132" t="s">
        <v>37</v>
      </c>
      <c r="AL58" s="132" t="s">
        <v>37</v>
      </c>
      <c r="AM58" s="132" t="s">
        <v>37</v>
      </c>
      <c r="AN58" s="132" t="s">
        <v>37</v>
      </c>
      <c r="AO58" s="132" t="s">
        <v>37</v>
      </c>
      <c r="AP58" s="139"/>
      <c r="AQ58" s="132" t="s">
        <v>37</v>
      </c>
      <c r="AR58" s="132" t="s">
        <v>37</v>
      </c>
      <c r="AS58" s="132" t="s">
        <v>37</v>
      </c>
      <c r="AT58" s="132" t="s">
        <v>37</v>
      </c>
      <c r="AU58" s="132" t="s">
        <v>37</v>
      </c>
      <c r="AV58" s="132" t="s">
        <v>37</v>
      </c>
      <c r="AW58" s="132" t="s">
        <v>37</v>
      </c>
      <c r="AX58" s="132" t="s">
        <v>37</v>
      </c>
      <c r="AY58" s="132" t="s">
        <v>37</v>
      </c>
      <c r="AZ58" s="132" t="s">
        <v>37</v>
      </c>
      <c r="BA58" s="139"/>
      <c r="BB58" s="132" t="s">
        <v>37</v>
      </c>
      <c r="BC58" s="132" t="s">
        <v>37</v>
      </c>
      <c r="BD58" s="132" t="s">
        <v>37</v>
      </c>
      <c r="BE58" s="132" t="s">
        <v>37</v>
      </c>
      <c r="BF58" s="132" t="s">
        <v>37</v>
      </c>
      <c r="BG58" s="132" t="s">
        <v>37</v>
      </c>
      <c r="BH58" s="132" t="s">
        <v>37</v>
      </c>
      <c r="BI58" s="132" t="s">
        <v>37</v>
      </c>
      <c r="BJ58" s="132" t="s">
        <v>37</v>
      </c>
      <c r="BK58" s="132" t="s">
        <v>37</v>
      </c>
      <c r="BL58" s="132" t="s">
        <v>37</v>
      </c>
      <c r="BM58" s="132" t="s">
        <v>37</v>
      </c>
      <c r="BN58" s="132" t="s">
        <v>37</v>
      </c>
      <c r="BO58" s="132" t="s">
        <v>37</v>
      </c>
      <c r="BP58" s="139"/>
      <c r="BQ58" s="132" t="s">
        <v>37</v>
      </c>
      <c r="BR58" s="132" t="s">
        <v>37</v>
      </c>
      <c r="BS58" s="132" t="s">
        <v>37</v>
      </c>
      <c r="BT58" s="132" t="s">
        <v>37</v>
      </c>
      <c r="BU58" s="132" t="s">
        <v>37</v>
      </c>
      <c r="BV58" s="132" t="s">
        <v>37</v>
      </c>
      <c r="BW58" s="132" t="s">
        <v>37</v>
      </c>
      <c r="BX58" s="132" t="s">
        <v>37</v>
      </c>
      <c r="BY58" s="132" t="s">
        <v>37</v>
      </c>
      <c r="BZ58" s="132" t="s">
        <v>37</v>
      </c>
      <c r="CA58" s="139"/>
      <c r="CB58" s="132" t="s">
        <v>37</v>
      </c>
      <c r="CC58" s="132" t="s">
        <v>37</v>
      </c>
      <c r="CD58" s="132" t="s">
        <v>37</v>
      </c>
      <c r="CE58" s="132" t="s">
        <v>37</v>
      </c>
      <c r="CF58" s="132" t="s">
        <v>37</v>
      </c>
      <c r="CG58" s="132" t="s">
        <v>37</v>
      </c>
      <c r="CH58" s="132" t="s">
        <v>37</v>
      </c>
      <c r="CI58" s="132" t="s">
        <v>37</v>
      </c>
      <c r="CJ58" s="132" t="s">
        <v>37</v>
      </c>
      <c r="CK58" s="139"/>
      <c r="CL58" s="132" t="s">
        <v>37</v>
      </c>
      <c r="CM58" s="132" t="s">
        <v>37</v>
      </c>
      <c r="CN58" s="132" t="s">
        <v>37</v>
      </c>
      <c r="CO58" s="132" t="s">
        <v>37</v>
      </c>
      <c r="CP58" s="132" t="s">
        <v>37</v>
      </c>
      <c r="CQ58" s="132" t="s">
        <v>37</v>
      </c>
      <c r="CR58" s="132" t="s">
        <v>37</v>
      </c>
      <c r="CS58" s="132" t="s">
        <v>37</v>
      </c>
      <c r="CT58" s="132" t="s">
        <v>37</v>
      </c>
      <c r="CU58" s="132" t="s">
        <v>37</v>
      </c>
      <c r="CV58" s="132" t="s">
        <v>37</v>
      </c>
      <c r="CW58" s="132" t="s">
        <v>37</v>
      </c>
      <c r="CX58" s="132">
        <v>0.7</v>
      </c>
      <c r="CY58" s="139"/>
      <c r="CZ58" s="109">
        <v>0.7</v>
      </c>
      <c r="DA58" s="109" t="s">
        <v>37</v>
      </c>
      <c r="DB58" s="133" t="s">
        <v>37</v>
      </c>
      <c r="DC58" s="109">
        <v>0</v>
      </c>
      <c r="DD58" s="132">
        <v>0.7</v>
      </c>
      <c r="DE58" s="132">
        <v>0.7</v>
      </c>
      <c r="DF58" s="132">
        <v>0.7</v>
      </c>
      <c r="DG58" s="132">
        <v>0.7</v>
      </c>
      <c r="DH58" s="132">
        <v>0.7</v>
      </c>
      <c r="DI58" s="132">
        <v>0.7</v>
      </c>
      <c r="DJ58" s="132">
        <v>0.7</v>
      </c>
      <c r="DK58" s="132">
        <v>0.7</v>
      </c>
      <c r="DL58" s="149">
        <v>0.7</v>
      </c>
      <c r="DM58" s="139"/>
      <c r="DN58" s="132">
        <v>0.7</v>
      </c>
      <c r="DO58" s="132">
        <v>0.7</v>
      </c>
      <c r="DP58" s="109" t="s">
        <v>37</v>
      </c>
      <c r="DQ58" s="133" t="s">
        <v>37</v>
      </c>
      <c r="DR58" s="109" t="s">
        <v>37</v>
      </c>
      <c r="DS58" s="133" t="s">
        <v>37</v>
      </c>
      <c r="DT58" s="132">
        <v>0</v>
      </c>
      <c r="DU58" s="132">
        <v>0.7</v>
      </c>
      <c r="DV58" s="132">
        <v>0</v>
      </c>
      <c r="DW58" s="132">
        <v>0</v>
      </c>
      <c r="DX58" s="132">
        <v>0</v>
      </c>
      <c r="DY58" s="132">
        <v>0</v>
      </c>
      <c r="DZ58" s="132">
        <v>0</v>
      </c>
      <c r="EA58" s="132">
        <v>0</v>
      </c>
      <c r="EB58" s="5">
        <f t="shared" ref="EB58:EB60" si="57">SUM(E58:EA58)</f>
        <v>9.7999999999999989</v>
      </c>
      <c r="EC58" s="5">
        <v>1</v>
      </c>
      <c r="ED58" s="5">
        <f t="shared" ref="ED58:ED60" si="58">EC58*8</f>
        <v>8</v>
      </c>
      <c r="EE58" s="7">
        <f t="shared" ref="EE58:EE60" si="59">ED58-EB58</f>
        <v>-1.7999999999999989</v>
      </c>
      <c r="EF58" s="40" t="str">
        <f t="shared" ref="EF58:EF60" si="60">IF(EE58&gt;0, "","NO")</f>
        <v>NO</v>
      </c>
      <c r="EG58" s="41" t="str">
        <f t="shared" ref="EG58:EG60" si="61">IF(EE58&gt;0, "", A58)</f>
        <v>بونيف اليانة</v>
      </c>
    </row>
    <row r="59" spans="1:137" x14ac:dyDescent="0.25">
      <c r="A59" s="129" t="s">
        <v>327</v>
      </c>
      <c r="B59" s="129"/>
      <c r="C59" s="130">
        <v>53</v>
      </c>
      <c r="D59" s="131"/>
      <c r="E59" s="132" t="s">
        <v>37</v>
      </c>
      <c r="F59" s="132" t="s">
        <v>37</v>
      </c>
      <c r="G59" s="132" t="s">
        <v>37</v>
      </c>
      <c r="H59" s="132" t="s">
        <v>37</v>
      </c>
      <c r="I59" s="132" t="s">
        <v>37</v>
      </c>
      <c r="J59" s="132" t="s">
        <v>37</v>
      </c>
      <c r="K59" s="132" t="s">
        <v>37</v>
      </c>
      <c r="L59" s="132" t="s">
        <v>37</v>
      </c>
      <c r="M59" s="139"/>
      <c r="N59" s="132" t="s">
        <v>37</v>
      </c>
      <c r="O59" s="132" t="s">
        <v>37</v>
      </c>
      <c r="P59" s="132" t="s">
        <v>37</v>
      </c>
      <c r="Q59" s="132" t="s">
        <v>37</v>
      </c>
      <c r="R59" s="132" t="s">
        <v>37</v>
      </c>
      <c r="S59" s="132" t="s">
        <v>37</v>
      </c>
      <c r="T59" s="132" t="s">
        <v>37</v>
      </c>
      <c r="U59" s="132" t="s">
        <v>37</v>
      </c>
      <c r="V59" s="139"/>
      <c r="W59" s="132" t="s">
        <v>37</v>
      </c>
      <c r="X59" s="132" t="s">
        <v>37</v>
      </c>
      <c r="Y59" s="132" t="s">
        <v>37</v>
      </c>
      <c r="Z59" s="132" t="s">
        <v>37</v>
      </c>
      <c r="AA59" s="132" t="s">
        <v>37</v>
      </c>
      <c r="AB59" s="132" t="s">
        <v>37</v>
      </c>
      <c r="AC59" s="132" t="s">
        <v>37</v>
      </c>
      <c r="AD59" s="132" t="s">
        <v>37</v>
      </c>
      <c r="AE59" s="132" t="s">
        <v>37</v>
      </c>
      <c r="AF59" s="139"/>
      <c r="AG59" s="132" t="s">
        <v>37</v>
      </c>
      <c r="AH59" s="132" t="s">
        <v>37</v>
      </c>
      <c r="AI59" s="132" t="s">
        <v>37</v>
      </c>
      <c r="AJ59" s="132" t="s">
        <v>37</v>
      </c>
      <c r="AK59" s="132" t="s">
        <v>37</v>
      </c>
      <c r="AL59" s="132" t="s">
        <v>37</v>
      </c>
      <c r="AM59" s="132" t="s">
        <v>37</v>
      </c>
      <c r="AN59" s="132" t="s">
        <v>37</v>
      </c>
      <c r="AO59" s="132" t="s">
        <v>37</v>
      </c>
      <c r="AP59" s="139"/>
      <c r="AQ59" s="132" t="s">
        <v>37</v>
      </c>
      <c r="AR59" s="132" t="s">
        <v>37</v>
      </c>
      <c r="AS59" s="132" t="s">
        <v>37</v>
      </c>
      <c r="AT59" s="132" t="s">
        <v>37</v>
      </c>
      <c r="AU59" s="132" t="s">
        <v>37</v>
      </c>
      <c r="AV59" s="132" t="s">
        <v>37</v>
      </c>
      <c r="AW59" s="132" t="s">
        <v>37</v>
      </c>
      <c r="AX59" s="132" t="s">
        <v>37</v>
      </c>
      <c r="AY59" s="132" t="s">
        <v>37</v>
      </c>
      <c r="AZ59" s="132" t="s">
        <v>37</v>
      </c>
      <c r="BA59" s="139"/>
      <c r="BB59" s="132" t="s">
        <v>37</v>
      </c>
      <c r="BC59" s="132" t="s">
        <v>37</v>
      </c>
      <c r="BD59" s="132" t="s">
        <v>37</v>
      </c>
      <c r="BE59" s="132" t="s">
        <v>37</v>
      </c>
      <c r="BF59" s="132" t="s">
        <v>37</v>
      </c>
      <c r="BG59" s="132" t="s">
        <v>37</v>
      </c>
      <c r="BH59" s="132" t="s">
        <v>37</v>
      </c>
      <c r="BI59" s="132" t="s">
        <v>37</v>
      </c>
      <c r="BJ59" s="132" t="s">
        <v>37</v>
      </c>
      <c r="BK59" s="132" t="s">
        <v>37</v>
      </c>
      <c r="BL59" s="132" t="s">
        <v>37</v>
      </c>
      <c r="BM59" s="132" t="s">
        <v>37</v>
      </c>
      <c r="BN59" s="132" t="s">
        <v>37</v>
      </c>
      <c r="BO59" s="132" t="s">
        <v>37</v>
      </c>
      <c r="BP59" s="139"/>
      <c r="BQ59" s="132" t="s">
        <v>37</v>
      </c>
      <c r="BR59" s="132" t="s">
        <v>37</v>
      </c>
      <c r="BS59" s="132" t="s">
        <v>37</v>
      </c>
      <c r="BT59" s="132" t="s">
        <v>37</v>
      </c>
      <c r="BU59" s="132" t="s">
        <v>37</v>
      </c>
      <c r="BV59" s="132" t="s">
        <v>37</v>
      </c>
      <c r="BW59" s="132" t="s">
        <v>37</v>
      </c>
      <c r="BX59" s="132" t="s">
        <v>37</v>
      </c>
      <c r="BY59" s="132" t="s">
        <v>37</v>
      </c>
      <c r="BZ59" s="132" t="s">
        <v>37</v>
      </c>
      <c r="CA59" s="139"/>
      <c r="CB59" s="132" t="s">
        <v>37</v>
      </c>
      <c r="CC59" s="132" t="s">
        <v>37</v>
      </c>
      <c r="CD59" s="132" t="s">
        <v>37</v>
      </c>
      <c r="CE59" s="132" t="s">
        <v>37</v>
      </c>
      <c r="CF59" s="132" t="s">
        <v>37</v>
      </c>
      <c r="CG59" s="132" t="s">
        <v>37</v>
      </c>
      <c r="CH59" s="132" t="s">
        <v>37</v>
      </c>
      <c r="CI59" s="132" t="s">
        <v>37</v>
      </c>
      <c r="CJ59" s="132" t="s">
        <v>37</v>
      </c>
      <c r="CK59" s="139"/>
      <c r="CL59" s="132" t="s">
        <v>37</v>
      </c>
      <c r="CM59" s="132" t="s">
        <v>37</v>
      </c>
      <c r="CN59" s="132" t="s">
        <v>37</v>
      </c>
      <c r="CO59" s="132" t="s">
        <v>37</v>
      </c>
      <c r="CP59" s="132" t="s">
        <v>37</v>
      </c>
      <c r="CQ59" s="132" t="s">
        <v>37</v>
      </c>
      <c r="CR59" s="132" t="s">
        <v>37</v>
      </c>
      <c r="CS59" s="132" t="s">
        <v>37</v>
      </c>
      <c r="CT59" s="132" t="s">
        <v>37</v>
      </c>
      <c r="CU59" s="132" t="s">
        <v>37</v>
      </c>
      <c r="CV59" s="132" t="s">
        <v>37</v>
      </c>
      <c r="CW59" s="132" t="s">
        <v>37</v>
      </c>
      <c r="CX59" s="132">
        <v>0.7</v>
      </c>
      <c r="CY59" s="139"/>
      <c r="CZ59" s="109" t="s">
        <v>332</v>
      </c>
      <c r="DA59" s="109" t="s">
        <v>37</v>
      </c>
      <c r="DB59" s="133" t="s">
        <v>37</v>
      </c>
      <c r="DC59" s="109">
        <v>0</v>
      </c>
      <c r="DD59" s="132">
        <v>0.7</v>
      </c>
      <c r="DE59" s="132">
        <v>0.7</v>
      </c>
      <c r="DF59" s="132">
        <v>0.7</v>
      </c>
      <c r="DG59" s="132">
        <v>0.7</v>
      </c>
      <c r="DH59" s="132">
        <v>0.7</v>
      </c>
      <c r="DI59" s="132">
        <v>0.7</v>
      </c>
      <c r="DJ59" s="132">
        <v>0.7</v>
      </c>
      <c r="DK59" s="132">
        <v>0.7</v>
      </c>
      <c r="DL59" s="149">
        <v>0.7</v>
      </c>
      <c r="DM59" s="139"/>
      <c r="DN59" s="132">
        <v>0.7</v>
      </c>
      <c r="DO59" s="132">
        <v>0.7</v>
      </c>
      <c r="DP59" s="109" t="s">
        <v>37</v>
      </c>
      <c r="DQ59" s="133" t="s">
        <v>37</v>
      </c>
      <c r="DR59" s="109" t="s">
        <v>37</v>
      </c>
      <c r="DS59" s="133" t="s">
        <v>37</v>
      </c>
      <c r="DT59" s="132">
        <v>0</v>
      </c>
      <c r="DU59" s="132">
        <v>0.7</v>
      </c>
      <c r="DV59" s="132">
        <v>0</v>
      </c>
      <c r="DW59" s="132">
        <v>0</v>
      </c>
      <c r="DX59" s="132">
        <v>0</v>
      </c>
      <c r="DY59" s="132">
        <v>0</v>
      </c>
      <c r="DZ59" s="132">
        <v>0</v>
      </c>
      <c r="EA59" s="132">
        <v>0</v>
      </c>
      <c r="EB59" s="5">
        <f t="shared" si="57"/>
        <v>9.1</v>
      </c>
      <c r="EC59" s="5">
        <v>1</v>
      </c>
      <c r="ED59" s="5">
        <f t="shared" si="58"/>
        <v>8</v>
      </c>
      <c r="EE59" s="7">
        <f t="shared" si="59"/>
        <v>-1.0999999999999996</v>
      </c>
      <c r="EF59" s="40" t="str">
        <f t="shared" si="60"/>
        <v>NO</v>
      </c>
      <c r="EG59" s="41" t="str">
        <f t="shared" si="61"/>
        <v>بونيف ايدن</v>
      </c>
    </row>
    <row r="60" spans="1:137" x14ac:dyDescent="0.25">
      <c r="A60" s="129" t="s">
        <v>330</v>
      </c>
      <c r="B60" s="129"/>
      <c r="C60" s="130">
        <v>54</v>
      </c>
      <c r="D60" s="131"/>
      <c r="E60" s="132" t="s">
        <v>37</v>
      </c>
      <c r="F60" s="132" t="s">
        <v>37</v>
      </c>
      <c r="G60" s="132" t="s">
        <v>37</v>
      </c>
      <c r="H60" s="132" t="s">
        <v>37</v>
      </c>
      <c r="I60" s="132" t="s">
        <v>37</v>
      </c>
      <c r="J60" s="132" t="s">
        <v>37</v>
      </c>
      <c r="K60" s="132" t="s">
        <v>37</v>
      </c>
      <c r="L60" s="132" t="s">
        <v>37</v>
      </c>
      <c r="M60" s="139"/>
      <c r="N60" s="132" t="s">
        <v>37</v>
      </c>
      <c r="O60" s="132" t="s">
        <v>37</v>
      </c>
      <c r="P60" s="132" t="s">
        <v>37</v>
      </c>
      <c r="Q60" s="132" t="s">
        <v>37</v>
      </c>
      <c r="R60" s="132" t="s">
        <v>37</v>
      </c>
      <c r="S60" s="132" t="s">
        <v>37</v>
      </c>
      <c r="T60" s="132" t="s">
        <v>37</v>
      </c>
      <c r="U60" s="132" t="s">
        <v>37</v>
      </c>
      <c r="V60" s="139"/>
      <c r="W60" s="132" t="s">
        <v>37</v>
      </c>
      <c r="X60" s="132" t="s">
        <v>37</v>
      </c>
      <c r="Y60" s="132" t="s">
        <v>37</v>
      </c>
      <c r="Z60" s="132" t="s">
        <v>37</v>
      </c>
      <c r="AA60" s="132" t="s">
        <v>37</v>
      </c>
      <c r="AB60" s="132" t="s">
        <v>37</v>
      </c>
      <c r="AC60" s="132" t="s">
        <v>37</v>
      </c>
      <c r="AD60" s="132" t="s">
        <v>37</v>
      </c>
      <c r="AE60" s="132" t="s">
        <v>37</v>
      </c>
      <c r="AF60" s="139"/>
      <c r="AG60" s="132" t="s">
        <v>37</v>
      </c>
      <c r="AH60" s="132" t="s">
        <v>37</v>
      </c>
      <c r="AI60" s="132" t="s">
        <v>37</v>
      </c>
      <c r="AJ60" s="132" t="s">
        <v>37</v>
      </c>
      <c r="AK60" s="132" t="s">
        <v>37</v>
      </c>
      <c r="AL60" s="132" t="s">
        <v>37</v>
      </c>
      <c r="AM60" s="132" t="s">
        <v>37</v>
      </c>
      <c r="AN60" s="132" t="s">
        <v>37</v>
      </c>
      <c r="AO60" s="132" t="s">
        <v>37</v>
      </c>
      <c r="AP60" s="139"/>
      <c r="AQ60" s="132" t="s">
        <v>37</v>
      </c>
      <c r="AR60" s="132" t="s">
        <v>37</v>
      </c>
      <c r="AS60" s="132" t="s">
        <v>37</v>
      </c>
      <c r="AT60" s="132" t="s">
        <v>37</v>
      </c>
      <c r="AU60" s="132" t="s">
        <v>37</v>
      </c>
      <c r="AV60" s="132" t="s">
        <v>37</v>
      </c>
      <c r="AW60" s="132" t="s">
        <v>37</v>
      </c>
      <c r="AX60" s="132" t="s">
        <v>37</v>
      </c>
      <c r="AY60" s="132" t="s">
        <v>37</v>
      </c>
      <c r="AZ60" s="132" t="s">
        <v>37</v>
      </c>
      <c r="BA60" s="139"/>
      <c r="BB60" s="132" t="s">
        <v>37</v>
      </c>
      <c r="BC60" s="132" t="s">
        <v>37</v>
      </c>
      <c r="BD60" s="132" t="s">
        <v>37</v>
      </c>
      <c r="BE60" s="132" t="s">
        <v>37</v>
      </c>
      <c r="BF60" s="132" t="s">
        <v>37</v>
      </c>
      <c r="BG60" s="132" t="s">
        <v>37</v>
      </c>
      <c r="BH60" s="132" t="s">
        <v>37</v>
      </c>
      <c r="BI60" s="132" t="s">
        <v>37</v>
      </c>
      <c r="BJ60" s="132" t="s">
        <v>37</v>
      </c>
      <c r="BK60" s="132" t="s">
        <v>37</v>
      </c>
      <c r="BL60" s="132" t="s">
        <v>37</v>
      </c>
      <c r="BM60" s="132" t="s">
        <v>37</v>
      </c>
      <c r="BN60" s="132" t="s">
        <v>37</v>
      </c>
      <c r="BO60" s="132" t="s">
        <v>37</v>
      </c>
      <c r="BP60" s="139"/>
      <c r="BQ60" s="132" t="s">
        <v>37</v>
      </c>
      <c r="BR60" s="132" t="s">
        <v>37</v>
      </c>
      <c r="BS60" s="132" t="s">
        <v>37</v>
      </c>
      <c r="BT60" s="132" t="s">
        <v>37</v>
      </c>
      <c r="BU60" s="132" t="s">
        <v>37</v>
      </c>
      <c r="BV60" s="132" t="s">
        <v>37</v>
      </c>
      <c r="BW60" s="132" t="s">
        <v>37</v>
      </c>
      <c r="BX60" s="132" t="s">
        <v>37</v>
      </c>
      <c r="BY60" s="132" t="s">
        <v>37</v>
      </c>
      <c r="BZ60" s="132" t="s">
        <v>37</v>
      </c>
      <c r="CA60" s="139"/>
      <c r="CB60" s="132" t="s">
        <v>37</v>
      </c>
      <c r="CC60" s="132" t="s">
        <v>37</v>
      </c>
      <c r="CD60" s="132" t="s">
        <v>37</v>
      </c>
      <c r="CE60" s="132" t="s">
        <v>37</v>
      </c>
      <c r="CF60" s="132" t="s">
        <v>37</v>
      </c>
      <c r="CG60" s="132" t="s">
        <v>37</v>
      </c>
      <c r="CH60" s="132" t="s">
        <v>37</v>
      </c>
      <c r="CI60" s="132" t="s">
        <v>37</v>
      </c>
      <c r="CJ60" s="132" t="s">
        <v>37</v>
      </c>
      <c r="CK60" s="139"/>
      <c r="CL60" s="132" t="s">
        <v>37</v>
      </c>
      <c r="CM60" s="132" t="s">
        <v>37</v>
      </c>
      <c r="CN60" s="132" t="s">
        <v>37</v>
      </c>
      <c r="CO60" s="132" t="s">
        <v>37</v>
      </c>
      <c r="CP60" s="132" t="s">
        <v>37</v>
      </c>
      <c r="CQ60" s="132" t="s">
        <v>37</v>
      </c>
      <c r="CR60" s="132" t="s">
        <v>37</v>
      </c>
      <c r="CS60" s="132" t="s">
        <v>37</v>
      </c>
      <c r="CT60" s="132" t="s">
        <v>37</v>
      </c>
      <c r="CU60" s="132" t="s">
        <v>37</v>
      </c>
      <c r="CV60" s="132" t="s">
        <v>37</v>
      </c>
      <c r="CW60" s="132" t="s">
        <v>37</v>
      </c>
      <c r="CX60" s="132">
        <v>0.7</v>
      </c>
      <c r="CY60" s="139"/>
      <c r="CZ60" s="109">
        <v>0.7</v>
      </c>
      <c r="DA60" s="109" t="s">
        <v>37</v>
      </c>
      <c r="DB60" s="133" t="s">
        <v>37</v>
      </c>
      <c r="DC60" s="109">
        <v>0.7</v>
      </c>
      <c r="DD60" s="132">
        <v>0.7</v>
      </c>
      <c r="DE60" s="132">
        <v>0.7</v>
      </c>
      <c r="DF60" s="132">
        <v>0.7</v>
      </c>
      <c r="DG60" s="132">
        <v>0.7</v>
      </c>
      <c r="DH60" s="132">
        <v>0.7</v>
      </c>
      <c r="DI60" s="132">
        <v>0.7</v>
      </c>
      <c r="DJ60" s="132">
        <v>0.7</v>
      </c>
      <c r="DK60" s="132">
        <v>0.7</v>
      </c>
      <c r="DL60" s="149">
        <v>0</v>
      </c>
      <c r="DM60" s="139"/>
      <c r="DN60" s="132">
        <v>0.7</v>
      </c>
      <c r="DO60" s="132">
        <v>0.7</v>
      </c>
      <c r="DP60" s="109" t="s">
        <v>37</v>
      </c>
      <c r="DQ60" s="133" t="s">
        <v>37</v>
      </c>
      <c r="DR60" s="109" t="s">
        <v>37</v>
      </c>
      <c r="DS60" s="133" t="s">
        <v>37</v>
      </c>
      <c r="DT60" s="132">
        <v>0.7</v>
      </c>
      <c r="DU60" s="132">
        <v>0.7</v>
      </c>
      <c r="DV60" s="132">
        <v>0.7</v>
      </c>
      <c r="DW60" s="132">
        <v>0.7</v>
      </c>
      <c r="DX60" s="132">
        <v>0.7</v>
      </c>
      <c r="DY60" s="132">
        <v>0</v>
      </c>
      <c r="DZ60" s="132">
        <v>0</v>
      </c>
      <c r="EA60" s="132">
        <v>0.7</v>
      </c>
      <c r="EB60" s="5">
        <f t="shared" si="57"/>
        <v>13.299999999999995</v>
      </c>
      <c r="EC60" s="5">
        <v>2</v>
      </c>
      <c r="ED60" s="5">
        <f t="shared" si="58"/>
        <v>16</v>
      </c>
      <c r="EE60" s="7">
        <f t="shared" si="59"/>
        <v>2.7000000000000046</v>
      </c>
      <c r="EF60" s="40" t="str">
        <f t="shared" si="60"/>
        <v/>
      </c>
      <c r="EG60" s="41" t="str">
        <f t="shared" si="61"/>
        <v/>
      </c>
    </row>
    <row r="61" spans="1:137" x14ac:dyDescent="0.25">
      <c r="A61" s="129" t="s">
        <v>331</v>
      </c>
      <c r="B61" s="129"/>
      <c r="C61" s="130">
        <v>55</v>
      </c>
      <c r="D61" s="131"/>
      <c r="E61" s="132" t="s">
        <v>37</v>
      </c>
      <c r="F61" s="132" t="s">
        <v>37</v>
      </c>
      <c r="G61" s="132" t="s">
        <v>37</v>
      </c>
      <c r="H61" s="132" t="s">
        <v>37</v>
      </c>
      <c r="I61" s="132" t="s">
        <v>37</v>
      </c>
      <c r="J61" s="132" t="s">
        <v>37</v>
      </c>
      <c r="K61" s="132" t="s">
        <v>37</v>
      </c>
      <c r="L61" s="132" t="s">
        <v>37</v>
      </c>
      <c r="M61" s="139"/>
      <c r="N61" s="132" t="s">
        <v>37</v>
      </c>
      <c r="O61" s="132" t="s">
        <v>37</v>
      </c>
      <c r="P61" s="132" t="s">
        <v>37</v>
      </c>
      <c r="Q61" s="132" t="s">
        <v>37</v>
      </c>
      <c r="R61" s="132" t="s">
        <v>37</v>
      </c>
      <c r="S61" s="132" t="s">
        <v>37</v>
      </c>
      <c r="T61" s="132" t="s">
        <v>37</v>
      </c>
      <c r="U61" s="132" t="s">
        <v>37</v>
      </c>
      <c r="V61" s="139"/>
      <c r="W61" s="132" t="s">
        <v>37</v>
      </c>
      <c r="X61" s="132" t="s">
        <v>37</v>
      </c>
      <c r="Y61" s="132" t="s">
        <v>37</v>
      </c>
      <c r="Z61" s="132" t="s">
        <v>37</v>
      </c>
      <c r="AA61" s="132" t="s">
        <v>37</v>
      </c>
      <c r="AB61" s="132" t="s">
        <v>37</v>
      </c>
      <c r="AC61" s="132" t="s">
        <v>37</v>
      </c>
      <c r="AD61" s="132" t="s">
        <v>37</v>
      </c>
      <c r="AE61" s="132" t="s">
        <v>37</v>
      </c>
      <c r="AF61" s="139"/>
      <c r="AG61" s="132" t="s">
        <v>37</v>
      </c>
      <c r="AH61" s="132" t="s">
        <v>37</v>
      </c>
      <c r="AI61" s="132" t="s">
        <v>37</v>
      </c>
      <c r="AJ61" s="132" t="s">
        <v>37</v>
      </c>
      <c r="AK61" s="132" t="s">
        <v>37</v>
      </c>
      <c r="AL61" s="132" t="s">
        <v>37</v>
      </c>
      <c r="AM61" s="132" t="s">
        <v>37</v>
      </c>
      <c r="AN61" s="132" t="s">
        <v>37</v>
      </c>
      <c r="AO61" s="132" t="s">
        <v>37</v>
      </c>
      <c r="AP61" s="139"/>
      <c r="AQ61" s="132" t="s">
        <v>37</v>
      </c>
      <c r="AR61" s="132" t="s">
        <v>37</v>
      </c>
      <c r="AS61" s="132" t="s">
        <v>37</v>
      </c>
      <c r="AT61" s="132" t="s">
        <v>37</v>
      </c>
      <c r="AU61" s="132" t="s">
        <v>37</v>
      </c>
      <c r="AV61" s="132" t="s">
        <v>37</v>
      </c>
      <c r="AW61" s="132" t="s">
        <v>37</v>
      </c>
      <c r="AX61" s="132" t="s">
        <v>37</v>
      </c>
      <c r="AY61" s="132" t="s">
        <v>37</v>
      </c>
      <c r="AZ61" s="132" t="s">
        <v>37</v>
      </c>
      <c r="BA61" s="139"/>
      <c r="BB61" s="132" t="s">
        <v>37</v>
      </c>
      <c r="BC61" s="132" t="s">
        <v>37</v>
      </c>
      <c r="BD61" s="132" t="s">
        <v>37</v>
      </c>
      <c r="BE61" s="132" t="s">
        <v>37</v>
      </c>
      <c r="BF61" s="132" t="s">
        <v>37</v>
      </c>
      <c r="BG61" s="132" t="s">
        <v>37</v>
      </c>
      <c r="BH61" s="132" t="s">
        <v>37</v>
      </c>
      <c r="BI61" s="132" t="s">
        <v>37</v>
      </c>
      <c r="BJ61" s="132" t="s">
        <v>37</v>
      </c>
      <c r="BK61" s="132" t="s">
        <v>37</v>
      </c>
      <c r="BL61" s="132" t="s">
        <v>37</v>
      </c>
      <c r="BM61" s="132" t="s">
        <v>37</v>
      </c>
      <c r="BN61" s="132" t="s">
        <v>37</v>
      </c>
      <c r="BO61" s="132" t="s">
        <v>37</v>
      </c>
      <c r="BP61" s="139"/>
      <c r="BQ61" s="132" t="s">
        <v>37</v>
      </c>
      <c r="BR61" s="132" t="s">
        <v>37</v>
      </c>
      <c r="BS61" s="132" t="s">
        <v>37</v>
      </c>
      <c r="BT61" s="132" t="s">
        <v>37</v>
      </c>
      <c r="BU61" s="132" t="s">
        <v>37</v>
      </c>
      <c r="BV61" s="132" t="s">
        <v>37</v>
      </c>
      <c r="BW61" s="132" t="s">
        <v>37</v>
      </c>
      <c r="BX61" s="132" t="s">
        <v>37</v>
      </c>
      <c r="BY61" s="132" t="s">
        <v>37</v>
      </c>
      <c r="BZ61" s="132" t="s">
        <v>37</v>
      </c>
      <c r="CA61" s="139"/>
      <c r="CB61" s="132" t="s">
        <v>37</v>
      </c>
      <c r="CC61" s="132" t="s">
        <v>37</v>
      </c>
      <c r="CD61" s="132" t="s">
        <v>37</v>
      </c>
      <c r="CE61" s="132" t="s">
        <v>37</v>
      </c>
      <c r="CF61" s="132" t="s">
        <v>37</v>
      </c>
      <c r="CG61" s="132" t="s">
        <v>37</v>
      </c>
      <c r="CH61" s="132" t="s">
        <v>37</v>
      </c>
      <c r="CI61" s="132" t="s">
        <v>37</v>
      </c>
      <c r="CJ61" s="132" t="s">
        <v>37</v>
      </c>
      <c r="CK61" s="139"/>
      <c r="CL61" s="132" t="s">
        <v>37</v>
      </c>
      <c r="CM61" s="132" t="s">
        <v>37</v>
      </c>
      <c r="CN61" s="132" t="s">
        <v>37</v>
      </c>
      <c r="CO61" s="132" t="s">
        <v>37</v>
      </c>
      <c r="CP61" s="132" t="s">
        <v>37</v>
      </c>
      <c r="CQ61" s="132" t="s">
        <v>37</v>
      </c>
      <c r="CR61" s="132" t="s">
        <v>37</v>
      </c>
      <c r="CS61" s="132" t="s">
        <v>37</v>
      </c>
      <c r="CT61" s="132" t="s">
        <v>37</v>
      </c>
      <c r="CU61" s="132" t="s">
        <v>37</v>
      </c>
      <c r="CV61" s="132" t="s">
        <v>37</v>
      </c>
      <c r="CW61" s="132" t="s">
        <v>37</v>
      </c>
      <c r="CX61" s="132" t="s">
        <v>37</v>
      </c>
      <c r="CY61" s="139"/>
      <c r="CZ61" s="109">
        <v>0.7</v>
      </c>
      <c r="DA61" s="109" t="s">
        <v>37</v>
      </c>
      <c r="DB61" s="133" t="s">
        <v>37</v>
      </c>
      <c r="DC61" s="109">
        <v>0.7</v>
      </c>
      <c r="DD61" s="132">
        <v>0</v>
      </c>
      <c r="DE61" s="132">
        <v>0</v>
      </c>
      <c r="DF61" s="132">
        <v>0.7</v>
      </c>
      <c r="DG61" s="132">
        <v>0.7</v>
      </c>
      <c r="DH61" s="132">
        <v>0.7</v>
      </c>
      <c r="DI61" s="132">
        <v>0</v>
      </c>
      <c r="DJ61" s="132">
        <v>0</v>
      </c>
      <c r="DK61" s="132">
        <v>0</v>
      </c>
      <c r="DL61" s="149">
        <v>0.7</v>
      </c>
      <c r="DM61" s="139"/>
      <c r="DN61" s="132">
        <v>0.7</v>
      </c>
      <c r="DO61" s="132">
        <v>0.7</v>
      </c>
      <c r="DP61" s="109" t="s">
        <v>37</v>
      </c>
      <c r="DQ61" s="133" t="s">
        <v>37</v>
      </c>
      <c r="DR61" s="109" t="s">
        <v>37</v>
      </c>
      <c r="DS61" s="133" t="s">
        <v>37</v>
      </c>
      <c r="DT61" s="132">
        <v>0.7</v>
      </c>
      <c r="DU61" s="132">
        <v>0.7</v>
      </c>
      <c r="DV61" s="132">
        <v>0</v>
      </c>
      <c r="DW61" s="132">
        <v>0</v>
      </c>
      <c r="DX61" s="132">
        <v>0.7</v>
      </c>
      <c r="DY61" s="132">
        <v>0</v>
      </c>
      <c r="DZ61" s="132">
        <v>0.7</v>
      </c>
      <c r="EA61" s="132">
        <v>0.7</v>
      </c>
      <c r="EB61" s="5">
        <f>SUM(E61:EA61)</f>
        <v>9.1</v>
      </c>
      <c r="EC61" s="5">
        <v>2</v>
      </c>
      <c r="ED61" s="5">
        <f>EC61*8</f>
        <v>16</v>
      </c>
      <c r="EE61" s="7">
        <f>ED61-EB61</f>
        <v>6.9</v>
      </c>
      <c r="EF61" s="40" t="str">
        <f>IF(EE61&gt;0, "","NO")</f>
        <v/>
      </c>
      <c r="EG61" s="41" t="str">
        <f>IF(EE61&gt;0, "", A61)</f>
        <v/>
      </c>
    </row>
    <row r="62" spans="1:137" x14ac:dyDescent="0.25">
      <c r="A62" s="129" t="s">
        <v>336</v>
      </c>
      <c r="B62" s="129"/>
      <c r="C62" s="130">
        <v>56</v>
      </c>
      <c r="D62" s="131"/>
      <c r="E62" s="132" t="s">
        <v>37</v>
      </c>
      <c r="F62" s="132" t="s">
        <v>37</v>
      </c>
      <c r="G62" s="132" t="s">
        <v>37</v>
      </c>
      <c r="H62" s="132" t="s">
        <v>37</v>
      </c>
      <c r="I62" s="132" t="s">
        <v>37</v>
      </c>
      <c r="J62" s="132" t="s">
        <v>37</v>
      </c>
      <c r="K62" s="132" t="s">
        <v>37</v>
      </c>
      <c r="L62" s="132" t="s">
        <v>37</v>
      </c>
      <c r="M62" s="139"/>
      <c r="N62" s="132" t="s">
        <v>37</v>
      </c>
      <c r="O62" s="132" t="s">
        <v>37</v>
      </c>
      <c r="P62" s="132" t="s">
        <v>37</v>
      </c>
      <c r="Q62" s="132" t="s">
        <v>37</v>
      </c>
      <c r="R62" s="132" t="s">
        <v>37</v>
      </c>
      <c r="S62" s="132" t="s">
        <v>37</v>
      </c>
      <c r="T62" s="132" t="s">
        <v>37</v>
      </c>
      <c r="U62" s="132" t="s">
        <v>37</v>
      </c>
      <c r="V62" s="139"/>
      <c r="W62" s="132" t="s">
        <v>37</v>
      </c>
      <c r="X62" s="132" t="s">
        <v>37</v>
      </c>
      <c r="Y62" s="132" t="s">
        <v>37</v>
      </c>
      <c r="Z62" s="132" t="s">
        <v>37</v>
      </c>
      <c r="AA62" s="132" t="s">
        <v>37</v>
      </c>
      <c r="AB62" s="132" t="s">
        <v>37</v>
      </c>
      <c r="AC62" s="132" t="s">
        <v>37</v>
      </c>
      <c r="AD62" s="132" t="s">
        <v>37</v>
      </c>
      <c r="AE62" s="132" t="s">
        <v>37</v>
      </c>
      <c r="AF62" s="139"/>
      <c r="AG62" s="132" t="s">
        <v>37</v>
      </c>
      <c r="AH62" s="132" t="s">
        <v>37</v>
      </c>
      <c r="AI62" s="132" t="s">
        <v>37</v>
      </c>
      <c r="AJ62" s="132" t="s">
        <v>37</v>
      </c>
      <c r="AK62" s="132" t="s">
        <v>37</v>
      </c>
      <c r="AL62" s="132" t="s">
        <v>37</v>
      </c>
      <c r="AM62" s="132" t="s">
        <v>37</v>
      </c>
      <c r="AN62" s="132" t="s">
        <v>37</v>
      </c>
      <c r="AO62" s="132" t="s">
        <v>37</v>
      </c>
      <c r="AP62" s="139"/>
      <c r="AQ62" s="132" t="s">
        <v>37</v>
      </c>
      <c r="AR62" s="132" t="s">
        <v>37</v>
      </c>
      <c r="AS62" s="132" t="s">
        <v>37</v>
      </c>
      <c r="AT62" s="132" t="s">
        <v>37</v>
      </c>
      <c r="AU62" s="132" t="s">
        <v>37</v>
      </c>
      <c r="AV62" s="132" t="s">
        <v>37</v>
      </c>
      <c r="AW62" s="132" t="s">
        <v>37</v>
      </c>
      <c r="AX62" s="132" t="s">
        <v>37</v>
      </c>
      <c r="AY62" s="132" t="s">
        <v>37</v>
      </c>
      <c r="AZ62" s="132" t="s">
        <v>37</v>
      </c>
      <c r="BA62" s="139"/>
      <c r="BB62" s="132" t="s">
        <v>37</v>
      </c>
      <c r="BC62" s="132" t="s">
        <v>37</v>
      </c>
      <c r="BD62" s="132" t="s">
        <v>37</v>
      </c>
      <c r="BE62" s="132" t="s">
        <v>37</v>
      </c>
      <c r="BF62" s="132" t="s">
        <v>37</v>
      </c>
      <c r="BG62" s="132" t="s">
        <v>37</v>
      </c>
      <c r="BH62" s="132" t="s">
        <v>37</v>
      </c>
      <c r="BI62" s="132" t="s">
        <v>37</v>
      </c>
      <c r="BJ62" s="132" t="s">
        <v>37</v>
      </c>
      <c r="BK62" s="132" t="s">
        <v>37</v>
      </c>
      <c r="BL62" s="132" t="s">
        <v>37</v>
      </c>
      <c r="BM62" s="132" t="s">
        <v>37</v>
      </c>
      <c r="BN62" s="132" t="s">
        <v>37</v>
      </c>
      <c r="BO62" s="132" t="s">
        <v>37</v>
      </c>
      <c r="BP62" s="139"/>
      <c r="BQ62" s="132" t="s">
        <v>37</v>
      </c>
      <c r="BR62" s="132" t="s">
        <v>37</v>
      </c>
      <c r="BS62" s="132" t="s">
        <v>37</v>
      </c>
      <c r="BT62" s="132" t="s">
        <v>37</v>
      </c>
      <c r="BU62" s="132" t="s">
        <v>37</v>
      </c>
      <c r="BV62" s="132" t="s">
        <v>37</v>
      </c>
      <c r="BW62" s="132" t="s">
        <v>37</v>
      </c>
      <c r="BX62" s="132" t="s">
        <v>37</v>
      </c>
      <c r="BY62" s="132" t="s">
        <v>37</v>
      </c>
      <c r="BZ62" s="132" t="s">
        <v>37</v>
      </c>
      <c r="CA62" s="139"/>
      <c r="CB62" s="132" t="s">
        <v>37</v>
      </c>
      <c r="CC62" s="132" t="s">
        <v>37</v>
      </c>
      <c r="CD62" s="132" t="s">
        <v>37</v>
      </c>
      <c r="CE62" s="132" t="s">
        <v>37</v>
      </c>
      <c r="CF62" s="132" t="s">
        <v>37</v>
      </c>
      <c r="CG62" s="132" t="s">
        <v>37</v>
      </c>
      <c r="CH62" s="132" t="s">
        <v>37</v>
      </c>
      <c r="CI62" s="132" t="s">
        <v>37</v>
      </c>
      <c r="CJ62" s="132" t="s">
        <v>37</v>
      </c>
      <c r="CK62" s="139"/>
      <c r="CL62" s="132" t="s">
        <v>37</v>
      </c>
      <c r="CM62" s="132" t="s">
        <v>37</v>
      </c>
      <c r="CN62" s="132" t="s">
        <v>37</v>
      </c>
      <c r="CO62" s="132" t="s">
        <v>37</v>
      </c>
      <c r="CP62" s="132" t="s">
        <v>37</v>
      </c>
      <c r="CQ62" s="132" t="s">
        <v>37</v>
      </c>
      <c r="CR62" s="132" t="s">
        <v>37</v>
      </c>
      <c r="CS62" s="132" t="s">
        <v>37</v>
      </c>
      <c r="CT62" s="132" t="s">
        <v>37</v>
      </c>
      <c r="CU62" s="132" t="s">
        <v>37</v>
      </c>
      <c r="CV62" s="132" t="s">
        <v>37</v>
      </c>
      <c r="CW62" s="132" t="s">
        <v>37</v>
      </c>
      <c r="CX62" s="132" t="s">
        <v>37</v>
      </c>
      <c r="CY62" s="139"/>
      <c r="CZ62" s="109" t="s">
        <v>37</v>
      </c>
      <c r="DA62" s="109" t="s">
        <v>37</v>
      </c>
      <c r="DB62" s="109" t="s">
        <v>37</v>
      </c>
      <c r="DC62" s="109" t="s">
        <v>37</v>
      </c>
      <c r="DD62" s="109" t="s">
        <v>37</v>
      </c>
      <c r="DE62" s="109" t="s">
        <v>37</v>
      </c>
      <c r="DF62" s="109" t="s">
        <v>37</v>
      </c>
      <c r="DG62" s="132">
        <v>0.7</v>
      </c>
      <c r="DH62" s="132">
        <v>0</v>
      </c>
      <c r="DI62" s="132">
        <v>0.7</v>
      </c>
      <c r="DJ62" s="132">
        <v>0.7</v>
      </c>
      <c r="DK62" s="132">
        <v>0.7</v>
      </c>
      <c r="DL62" s="132">
        <v>0.7</v>
      </c>
      <c r="DM62" s="139"/>
      <c r="DN62" s="132">
        <v>0.7</v>
      </c>
      <c r="DO62" s="132">
        <v>0.7</v>
      </c>
      <c r="DP62" s="109" t="s">
        <v>37</v>
      </c>
      <c r="DQ62" s="133" t="s">
        <v>37</v>
      </c>
      <c r="DR62" s="109" t="s">
        <v>37</v>
      </c>
      <c r="DS62" s="133" t="s">
        <v>37</v>
      </c>
      <c r="DT62" s="132">
        <v>0.7</v>
      </c>
      <c r="DU62" s="132">
        <v>0</v>
      </c>
      <c r="DV62" s="132">
        <v>0.7</v>
      </c>
      <c r="DW62" s="132">
        <v>0</v>
      </c>
      <c r="DX62" s="132">
        <v>0</v>
      </c>
      <c r="DY62" s="132">
        <v>0</v>
      </c>
      <c r="DZ62" s="132">
        <v>0</v>
      </c>
      <c r="EA62" s="132">
        <v>0</v>
      </c>
      <c r="EB62" s="5">
        <f>SUM(E62:EA62)</f>
        <v>6.3000000000000007</v>
      </c>
      <c r="EC62" s="5">
        <v>1</v>
      </c>
      <c r="ED62" s="5">
        <f>EC62*8</f>
        <v>8</v>
      </c>
      <c r="EE62" s="7">
        <f>ED62-EB62</f>
        <v>1.6999999999999993</v>
      </c>
      <c r="EF62" s="40" t="str">
        <f>IF(EE62&gt;0, "","NO")</f>
        <v/>
      </c>
      <c r="EG62" s="41" t="str">
        <f>IF(EE62&gt;0, "", A62)</f>
        <v/>
      </c>
    </row>
    <row r="63" spans="1:137" x14ac:dyDescent="0.25">
      <c r="A63" s="129" t="s">
        <v>355</v>
      </c>
      <c r="B63" s="129"/>
      <c r="C63" s="130">
        <v>57</v>
      </c>
      <c r="D63" s="131"/>
      <c r="E63" s="132" t="s">
        <v>37</v>
      </c>
      <c r="F63" s="132" t="s">
        <v>37</v>
      </c>
      <c r="G63" s="132" t="s">
        <v>37</v>
      </c>
      <c r="H63" s="132" t="s">
        <v>37</v>
      </c>
      <c r="I63" s="132" t="s">
        <v>37</v>
      </c>
      <c r="J63" s="132" t="s">
        <v>37</v>
      </c>
      <c r="K63" s="132" t="s">
        <v>37</v>
      </c>
      <c r="L63" s="132" t="s">
        <v>37</v>
      </c>
      <c r="M63" s="139"/>
      <c r="N63" s="132" t="s">
        <v>37</v>
      </c>
      <c r="O63" s="132" t="s">
        <v>37</v>
      </c>
      <c r="P63" s="132" t="s">
        <v>37</v>
      </c>
      <c r="Q63" s="132" t="s">
        <v>37</v>
      </c>
      <c r="R63" s="132" t="s">
        <v>37</v>
      </c>
      <c r="S63" s="132" t="s">
        <v>37</v>
      </c>
      <c r="T63" s="132" t="s">
        <v>37</v>
      </c>
      <c r="U63" s="132" t="s">
        <v>37</v>
      </c>
      <c r="V63" s="139"/>
      <c r="W63" s="132" t="s">
        <v>37</v>
      </c>
      <c r="X63" s="132" t="s">
        <v>37</v>
      </c>
      <c r="Y63" s="132" t="s">
        <v>37</v>
      </c>
      <c r="Z63" s="132" t="s">
        <v>37</v>
      </c>
      <c r="AA63" s="132" t="s">
        <v>37</v>
      </c>
      <c r="AB63" s="132" t="s">
        <v>37</v>
      </c>
      <c r="AC63" s="132" t="s">
        <v>37</v>
      </c>
      <c r="AD63" s="132" t="s">
        <v>37</v>
      </c>
      <c r="AE63" s="132" t="s">
        <v>37</v>
      </c>
      <c r="AF63" s="139"/>
      <c r="AG63" s="132" t="s">
        <v>37</v>
      </c>
      <c r="AH63" s="132" t="s">
        <v>37</v>
      </c>
      <c r="AI63" s="132" t="s">
        <v>37</v>
      </c>
      <c r="AJ63" s="132" t="s">
        <v>37</v>
      </c>
      <c r="AK63" s="132" t="s">
        <v>37</v>
      </c>
      <c r="AL63" s="132" t="s">
        <v>37</v>
      </c>
      <c r="AM63" s="132" t="s">
        <v>37</v>
      </c>
      <c r="AN63" s="132" t="s">
        <v>37</v>
      </c>
      <c r="AO63" s="132" t="s">
        <v>37</v>
      </c>
      <c r="AP63" s="139"/>
      <c r="AQ63" s="132" t="s">
        <v>37</v>
      </c>
      <c r="AR63" s="132" t="s">
        <v>37</v>
      </c>
      <c r="AS63" s="132" t="s">
        <v>37</v>
      </c>
      <c r="AT63" s="132" t="s">
        <v>37</v>
      </c>
      <c r="AU63" s="132" t="s">
        <v>37</v>
      </c>
      <c r="AV63" s="132" t="s">
        <v>37</v>
      </c>
      <c r="AW63" s="132" t="s">
        <v>37</v>
      </c>
      <c r="AX63" s="132" t="s">
        <v>37</v>
      </c>
      <c r="AY63" s="132" t="s">
        <v>37</v>
      </c>
      <c r="AZ63" s="132" t="s">
        <v>37</v>
      </c>
      <c r="BA63" s="139"/>
      <c r="BB63" s="132" t="s">
        <v>37</v>
      </c>
      <c r="BC63" s="132" t="s">
        <v>37</v>
      </c>
      <c r="BD63" s="132" t="s">
        <v>37</v>
      </c>
      <c r="BE63" s="132" t="s">
        <v>37</v>
      </c>
      <c r="BF63" s="132" t="s">
        <v>37</v>
      </c>
      <c r="BG63" s="132" t="s">
        <v>37</v>
      </c>
      <c r="BH63" s="132" t="s">
        <v>37</v>
      </c>
      <c r="BI63" s="132" t="s">
        <v>37</v>
      </c>
      <c r="BJ63" s="132" t="s">
        <v>37</v>
      </c>
      <c r="BK63" s="132" t="s">
        <v>37</v>
      </c>
      <c r="BL63" s="132" t="s">
        <v>37</v>
      </c>
      <c r="BM63" s="132" t="s">
        <v>37</v>
      </c>
      <c r="BN63" s="132" t="s">
        <v>37</v>
      </c>
      <c r="BO63" s="132" t="s">
        <v>37</v>
      </c>
      <c r="BP63" s="139"/>
      <c r="BQ63" s="132" t="s">
        <v>37</v>
      </c>
      <c r="BR63" s="132" t="s">
        <v>37</v>
      </c>
      <c r="BS63" s="132" t="s">
        <v>37</v>
      </c>
      <c r="BT63" s="132" t="s">
        <v>37</v>
      </c>
      <c r="BU63" s="132" t="s">
        <v>37</v>
      </c>
      <c r="BV63" s="132" t="s">
        <v>37</v>
      </c>
      <c r="BW63" s="132" t="s">
        <v>37</v>
      </c>
      <c r="BX63" s="132" t="s">
        <v>37</v>
      </c>
      <c r="BY63" s="132" t="s">
        <v>37</v>
      </c>
      <c r="BZ63" s="132" t="s">
        <v>37</v>
      </c>
      <c r="CA63" s="139"/>
      <c r="CB63" s="132" t="s">
        <v>37</v>
      </c>
      <c r="CC63" s="132" t="s">
        <v>37</v>
      </c>
      <c r="CD63" s="132" t="s">
        <v>37</v>
      </c>
      <c r="CE63" s="132" t="s">
        <v>37</v>
      </c>
      <c r="CF63" s="132" t="s">
        <v>37</v>
      </c>
      <c r="CG63" s="132" t="s">
        <v>37</v>
      </c>
      <c r="CH63" s="132" t="s">
        <v>37</v>
      </c>
      <c r="CI63" s="132" t="s">
        <v>37</v>
      </c>
      <c r="CJ63" s="132" t="s">
        <v>37</v>
      </c>
      <c r="CK63" s="139"/>
      <c r="CL63" s="132" t="s">
        <v>37</v>
      </c>
      <c r="CM63" s="132" t="s">
        <v>37</v>
      </c>
      <c r="CN63" s="132" t="s">
        <v>37</v>
      </c>
      <c r="CO63" s="132" t="s">
        <v>37</v>
      </c>
      <c r="CP63" s="132" t="s">
        <v>37</v>
      </c>
      <c r="CQ63" s="132" t="s">
        <v>37</v>
      </c>
      <c r="CR63" s="132" t="s">
        <v>37</v>
      </c>
      <c r="CS63" s="132" t="s">
        <v>37</v>
      </c>
      <c r="CT63" s="132" t="s">
        <v>37</v>
      </c>
      <c r="CU63" s="132" t="s">
        <v>37</v>
      </c>
      <c r="CV63" s="132" t="s">
        <v>37</v>
      </c>
      <c r="CW63" s="132" t="s">
        <v>37</v>
      </c>
      <c r="CX63" s="132" t="s">
        <v>37</v>
      </c>
      <c r="CY63" s="139"/>
      <c r="CZ63" s="109" t="s">
        <v>37</v>
      </c>
      <c r="DA63" s="109" t="s">
        <v>37</v>
      </c>
      <c r="DB63" s="109" t="s">
        <v>37</v>
      </c>
      <c r="DC63" s="109" t="s">
        <v>37</v>
      </c>
      <c r="DD63" s="109" t="s">
        <v>37</v>
      </c>
      <c r="DE63" s="109" t="s">
        <v>37</v>
      </c>
      <c r="DF63" s="109" t="s">
        <v>37</v>
      </c>
      <c r="DG63" s="109" t="s">
        <v>37</v>
      </c>
      <c r="DH63" s="109" t="s">
        <v>37</v>
      </c>
      <c r="DI63" s="109">
        <v>0.7</v>
      </c>
      <c r="DJ63" s="109">
        <v>0.7</v>
      </c>
      <c r="DK63" s="132">
        <v>0.7</v>
      </c>
      <c r="DL63" s="149">
        <v>0.7</v>
      </c>
      <c r="DM63" s="139"/>
      <c r="DN63" s="132">
        <v>0.7</v>
      </c>
      <c r="DO63" s="132">
        <v>0.7</v>
      </c>
      <c r="DP63" s="109" t="s">
        <v>37</v>
      </c>
      <c r="DQ63" s="133" t="s">
        <v>37</v>
      </c>
      <c r="DR63" s="109" t="s">
        <v>37</v>
      </c>
      <c r="DS63" s="133" t="s">
        <v>37</v>
      </c>
      <c r="DT63" s="132">
        <v>0.7</v>
      </c>
      <c r="DU63" s="132">
        <v>0</v>
      </c>
      <c r="DV63" s="132">
        <v>0.7</v>
      </c>
      <c r="DW63" s="132">
        <v>0</v>
      </c>
      <c r="DX63" s="132">
        <v>0</v>
      </c>
      <c r="DY63" s="132">
        <v>0</v>
      </c>
      <c r="DZ63" s="132">
        <v>0</v>
      </c>
      <c r="EA63" s="132">
        <v>0</v>
      </c>
      <c r="EB63" s="5">
        <f t="shared" ref="EB63:EB70" si="62">SUM(E63:EA63)</f>
        <v>5.6000000000000005</v>
      </c>
      <c r="EC63" s="5">
        <v>1</v>
      </c>
      <c r="ED63" s="5">
        <f t="shared" ref="ED63:ED70" si="63">EC63*8</f>
        <v>8</v>
      </c>
      <c r="EE63" s="7">
        <f t="shared" ref="EE63:EE70" si="64">ED63-EB63</f>
        <v>2.3999999999999995</v>
      </c>
      <c r="EF63" s="40" t="str">
        <f t="shared" ref="EF63:EF70" si="65">IF(EE63&gt;0, "","NO")</f>
        <v/>
      </c>
      <c r="EG63" s="41" t="str">
        <f t="shared" ref="EG63:EG70" si="66">IF(EE63&gt;0, "", A63)</f>
        <v/>
      </c>
    </row>
    <row r="64" spans="1:137" x14ac:dyDescent="0.25">
      <c r="A64" s="129" t="s">
        <v>365</v>
      </c>
      <c r="B64" s="129"/>
      <c r="C64" s="130">
        <v>58</v>
      </c>
      <c r="D64" s="131"/>
      <c r="E64" s="132" t="s">
        <v>37</v>
      </c>
      <c r="F64" s="132" t="s">
        <v>37</v>
      </c>
      <c r="G64" s="132" t="s">
        <v>37</v>
      </c>
      <c r="H64" s="132" t="s">
        <v>37</v>
      </c>
      <c r="I64" s="132" t="s">
        <v>37</v>
      </c>
      <c r="J64" s="132" t="s">
        <v>37</v>
      </c>
      <c r="K64" s="132" t="s">
        <v>37</v>
      </c>
      <c r="L64" s="132" t="s">
        <v>37</v>
      </c>
      <c r="M64" s="139"/>
      <c r="N64" s="132" t="s">
        <v>37</v>
      </c>
      <c r="O64" s="132" t="s">
        <v>37</v>
      </c>
      <c r="P64" s="132" t="s">
        <v>37</v>
      </c>
      <c r="Q64" s="132" t="s">
        <v>37</v>
      </c>
      <c r="R64" s="132" t="s">
        <v>37</v>
      </c>
      <c r="S64" s="132" t="s">
        <v>37</v>
      </c>
      <c r="T64" s="132" t="s">
        <v>37</v>
      </c>
      <c r="U64" s="132" t="s">
        <v>37</v>
      </c>
      <c r="V64" s="139"/>
      <c r="W64" s="132" t="s">
        <v>37</v>
      </c>
      <c r="X64" s="132" t="s">
        <v>37</v>
      </c>
      <c r="Y64" s="132" t="s">
        <v>37</v>
      </c>
      <c r="Z64" s="132" t="s">
        <v>37</v>
      </c>
      <c r="AA64" s="132" t="s">
        <v>37</v>
      </c>
      <c r="AB64" s="132" t="s">
        <v>37</v>
      </c>
      <c r="AC64" s="132" t="s">
        <v>37</v>
      </c>
      <c r="AD64" s="132" t="s">
        <v>37</v>
      </c>
      <c r="AE64" s="132" t="s">
        <v>37</v>
      </c>
      <c r="AF64" s="139"/>
      <c r="AG64" s="132" t="s">
        <v>37</v>
      </c>
      <c r="AH64" s="132" t="s">
        <v>37</v>
      </c>
      <c r="AI64" s="132" t="s">
        <v>37</v>
      </c>
      <c r="AJ64" s="132" t="s">
        <v>37</v>
      </c>
      <c r="AK64" s="132" t="s">
        <v>37</v>
      </c>
      <c r="AL64" s="132" t="s">
        <v>37</v>
      </c>
      <c r="AM64" s="132" t="s">
        <v>37</v>
      </c>
      <c r="AN64" s="132" t="s">
        <v>37</v>
      </c>
      <c r="AO64" s="132" t="s">
        <v>37</v>
      </c>
      <c r="AP64" s="139"/>
      <c r="AQ64" s="132" t="s">
        <v>37</v>
      </c>
      <c r="AR64" s="132" t="s">
        <v>37</v>
      </c>
      <c r="AS64" s="132" t="s">
        <v>37</v>
      </c>
      <c r="AT64" s="132" t="s">
        <v>37</v>
      </c>
      <c r="AU64" s="132" t="s">
        <v>37</v>
      </c>
      <c r="AV64" s="132" t="s">
        <v>37</v>
      </c>
      <c r="AW64" s="132" t="s">
        <v>37</v>
      </c>
      <c r="AX64" s="132" t="s">
        <v>37</v>
      </c>
      <c r="AY64" s="132" t="s">
        <v>37</v>
      </c>
      <c r="AZ64" s="132" t="s">
        <v>37</v>
      </c>
      <c r="BA64" s="139"/>
      <c r="BB64" s="132" t="s">
        <v>37</v>
      </c>
      <c r="BC64" s="132" t="s">
        <v>37</v>
      </c>
      <c r="BD64" s="132" t="s">
        <v>37</v>
      </c>
      <c r="BE64" s="132" t="s">
        <v>37</v>
      </c>
      <c r="BF64" s="132" t="s">
        <v>37</v>
      </c>
      <c r="BG64" s="132" t="s">
        <v>37</v>
      </c>
      <c r="BH64" s="132" t="s">
        <v>37</v>
      </c>
      <c r="BI64" s="132" t="s">
        <v>37</v>
      </c>
      <c r="BJ64" s="132" t="s">
        <v>37</v>
      </c>
      <c r="BK64" s="132" t="s">
        <v>37</v>
      </c>
      <c r="BL64" s="132" t="s">
        <v>37</v>
      </c>
      <c r="BM64" s="132" t="s">
        <v>37</v>
      </c>
      <c r="BN64" s="132" t="s">
        <v>37</v>
      </c>
      <c r="BO64" s="132" t="s">
        <v>37</v>
      </c>
      <c r="BP64" s="139"/>
      <c r="BQ64" s="132" t="s">
        <v>37</v>
      </c>
      <c r="BR64" s="132" t="s">
        <v>37</v>
      </c>
      <c r="BS64" s="132" t="s">
        <v>37</v>
      </c>
      <c r="BT64" s="132" t="s">
        <v>37</v>
      </c>
      <c r="BU64" s="132" t="s">
        <v>37</v>
      </c>
      <c r="BV64" s="132" t="s">
        <v>37</v>
      </c>
      <c r="BW64" s="132" t="s">
        <v>37</v>
      </c>
      <c r="BX64" s="132" t="s">
        <v>37</v>
      </c>
      <c r="BY64" s="132" t="s">
        <v>37</v>
      </c>
      <c r="BZ64" s="132" t="s">
        <v>37</v>
      </c>
      <c r="CA64" s="139"/>
      <c r="CB64" s="132" t="s">
        <v>37</v>
      </c>
      <c r="CC64" s="132" t="s">
        <v>37</v>
      </c>
      <c r="CD64" s="132" t="s">
        <v>37</v>
      </c>
      <c r="CE64" s="132" t="s">
        <v>37</v>
      </c>
      <c r="CF64" s="132" t="s">
        <v>37</v>
      </c>
      <c r="CG64" s="132" t="s">
        <v>37</v>
      </c>
      <c r="CH64" s="132" t="s">
        <v>37</v>
      </c>
      <c r="CI64" s="132" t="s">
        <v>37</v>
      </c>
      <c r="CJ64" s="132" t="s">
        <v>37</v>
      </c>
      <c r="CK64" s="139"/>
      <c r="CL64" s="132" t="s">
        <v>37</v>
      </c>
      <c r="CM64" s="132" t="s">
        <v>37</v>
      </c>
      <c r="CN64" s="132" t="s">
        <v>37</v>
      </c>
      <c r="CO64" s="132" t="s">
        <v>37</v>
      </c>
      <c r="CP64" s="132" t="s">
        <v>37</v>
      </c>
      <c r="CQ64" s="132" t="s">
        <v>37</v>
      </c>
      <c r="CR64" s="132" t="s">
        <v>37</v>
      </c>
      <c r="CS64" s="132" t="s">
        <v>37</v>
      </c>
      <c r="CT64" s="132" t="s">
        <v>37</v>
      </c>
      <c r="CU64" s="132" t="s">
        <v>37</v>
      </c>
      <c r="CV64" s="132" t="s">
        <v>37</v>
      </c>
      <c r="CW64" s="132" t="s">
        <v>37</v>
      </c>
      <c r="CX64" s="132" t="s">
        <v>37</v>
      </c>
      <c r="CY64" s="139"/>
      <c r="CZ64" s="109" t="s">
        <v>37</v>
      </c>
      <c r="DA64" s="109" t="s">
        <v>37</v>
      </c>
      <c r="DB64" s="109" t="s">
        <v>37</v>
      </c>
      <c r="DC64" s="109" t="s">
        <v>37</v>
      </c>
      <c r="DD64" s="109" t="s">
        <v>37</v>
      </c>
      <c r="DE64" s="109" t="s">
        <v>37</v>
      </c>
      <c r="DF64" s="109" t="s">
        <v>37</v>
      </c>
      <c r="DG64" s="109" t="s">
        <v>37</v>
      </c>
      <c r="DH64" s="109" t="s">
        <v>37</v>
      </c>
      <c r="DI64" s="109" t="s">
        <v>37</v>
      </c>
      <c r="DJ64" s="109">
        <v>0.7</v>
      </c>
      <c r="DK64" s="132">
        <v>0</v>
      </c>
      <c r="DL64" s="149">
        <v>0.7</v>
      </c>
      <c r="DM64" s="139"/>
      <c r="DN64" s="132">
        <v>0.7</v>
      </c>
      <c r="DO64" s="132">
        <v>0</v>
      </c>
      <c r="DP64" s="109" t="s">
        <v>37</v>
      </c>
      <c r="DQ64" s="133" t="s">
        <v>37</v>
      </c>
      <c r="DR64" s="109" t="s">
        <v>37</v>
      </c>
      <c r="DS64" s="133" t="s">
        <v>37</v>
      </c>
      <c r="DT64" s="132">
        <v>0</v>
      </c>
      <c r="DU64" s="132">
        <v>0</v>
      </c>
      <c r="DV64" s="132">
        <v>0.7</v>
      </c>
      <c r="DW64" s="132">
        <v>0</v>
      </c>
      <c r="DX64" s="132">
        <v>0</v>
      </c>
      <c r="DY64" s="132">
        <v>0</v>
      </c>
      <c r="DZ64" s="132">
        <v>0</v>
      </c>
      <c r="EA64" s="132">
        <v>0</v>
      </c>
      <c r="EB64" s="5">
        <f t="shared" si="62"/>
        <v>2.8</v>
      </c>
      <c r="EC64" s="5">
        <v>1</v>
      </c>
      <c r="ED64" s="5">
        <f t="shared" si="63"/>
        <v>8</v>
      </c>
      <c r="EE64" s="7">
        <f t="shared" si="64"/>
        <v>5.2</v>
      </c>
      <c r="EF64" s="40" t="str">
        <f t="shared" si="65"/>
        <v/>
      </c>
      <c r="EG64" s="41" t="str">
        <f t="shared" si="66"/>
        <v/>
      </c>
    </row>
    <row r="65" spans="1:137" x14ac:dyDescent="0.25">
      <c r="A65" s="129" t="s">
        <v>369</v>
      </c>
      <c r="B65" s="129"/>
      <c r="C65" s="130">
        <v>59</v>
      </c>
      <c r="D65" s="131"/>
      <c r="E65" s="132" t="s">
        <v>37</v>
      </c>
      <c r="F65" s="132" t="s">
        <v>37</v>
      </c>
      <c r="G65" s="132" t="s">
        <v>37</v>
      </c>
      <c r="H65" s="132" t="s">
        <v>37</v>
      </c>
      <c r="I65" s="132" t="s">
        <v>37</v>
      </c>
      <c r="J65" s="132" t="s">
        <v>37</v>
      </c>
      <c r="K65" s="132" t="s">
        <v>37</v>
      </c>
      <c r="L65" s="132" t="s">
        <v>37</v>
      </c>
      <c r="M65" s="139"/>
      <c r="N65" s="132" t="s">
        <v>37</v>
      </c>
      <c r="O65" s="132" t="s">
        <v>37</v>
      </c>
      <c r="P65" s="132" t="s">
        <v>37</v>
      </c>
      <c r="Q65" s="132" t="s">
        <v>37</v>
      </c>
      <c r="R65" s="132" t="s">
        <v>37</v>
      </c>
      <c r="S65" s="132" t="s">
        <v>37</v>
      </c>
      <c r="T65" s="132" t="s">
        <v>37</v>
      </c>
      <c r="U65" s="132" t="s">
        <v>37</v>
      </c>
      <c r="V65" s="139"/>
      <c r="W65" s="132" t="s">
        <v>37</v>
      </c>
      <c r="X65" s="132" t="s">
        <v>37</v>
      </c>
      <c r="Y65" s="132" t="s">
        <v>37</v>
      </c>
      <c r="Z65" s="132" t="s">
        <v>37</v>
      </c>
      <c r="AA65" s="132" t="s">
        <v>37</v>
      </c>
      <c r="AB65" s="132" t="s">
        <v>37</v>
      </c>
      <c r="AC65" s="132" t="s">
        <v>37</v>
      </c>
      <c r="AD65" s="132" t="s">
        <v>37</v>
      </c>
      <c r="AE65" s="132" t="s">
        <v>37</v>
      </c>
      <c r="AF65" s="139"/>
      <c r="AG65" s="132" t="s">
        <v>37</v>
      </c>
      <c r="AH65" s="132" t="s">
        <v>37</v>
      </c>
      <c r="AI65" s="132" t="s">
        <v>37</v>
      </c>
      <c r="AJ65" s="132" t="s">
        <v>37</v>
      </c>
      <c r="AK65" s="132" t="s">
        <v>37</v>
      </c>
      <c r="AL65" s="132" t="s">
        <v>37</v>
      </c>
      <c r="AM65" s="132" t="s">
        <v>37</v>
      </c>
      <c r="AN65" s="132" t="s">
        <v>37</v>
      </c>
      <c r="AO65" s="132" t="s">
        <v>37</v>
      </c>
      <c r="AP65" s="139"/>
      <c r="AQ65" s="132" t="s">
        <v>37</v>
      </c>
      <c r="AR65" s="132" t="s">
        <v>37</v>
      </c>
      <c r="AS65" s="132" t="s">
        <v>37</v>
      </c>
      <c r="AT65" s="132" t="s">
        <v>37</v>
      </c>
      <c r="AU65" s="132" t="s">
        <v>37</v>
      </c>
      <c r="AV65" s="132" t="s">
        <v>37</v>
      </c>
      <c r="AW65" s="132" t="s">
        <v>37</v>
      </c>
      <c r="AX65" s="132" t="s">
        <v>37</v>
      </c>
      <c r="AY65" s="132" t="s">
        <v>37</v>
      </c>
      <c r="AZ65" s="132" t="s">
        <v>37</v>
      </c>
      <c r="BA65" s="139"/>
      <c r="BB65" s="132" t="s">
        <v>37</v>
      </c>
      <c r="BC65" s="132" t="s">
        <v>37</v>
      </c>
      <c r="BD65" s="132" t="s">
        <v>37</v>
      </c>
      <c r="BE65" s="132" t="s">
        <v>37</v>
      </c>
      <c r="BF65" s="132" t="s">
        <v>37</v>
      </c>
      <c r="BG65" s="132" t="s">
        <v>37</v>
      </c>
      <c r="BH65" s="132" t="s">
        <v>37</v>
      </c>
      <c r="BI65" s="132" t="s">
        <v>37</v>
      </c>
      <c r="BJ65" s="132" t="s">
        <v>37</v>
      </c>
      <c r="BK65" s="132" t="s">
        <v>37</v>
      </c>
      <c r="BL65" s="132" t="s">
        <v>37</v>
      </c>
      <c r="BM65" s="132" t="s">
        <v>37</v>
      </c>
      <c r="BN65" s="132" t="s">
        <v>37</v>
      </c>
      <c r="BO65" s="132" t="s">
        <v>37</v>
      </c>
      <c r="BP65" s="139"/>
      <c r="BQ65" s="132" t="s">
        <v>37</v>
      </c>
      <c r="BR65" s="132" t="s">
        <v>37</v>
      </c>
      <c r="BS65" s="132" t="s">
        <v>37</v>
      </c>
      <c r="BT65" s="132" t="s">
        <v>37</v>
      </c>
      <c r="BU65" s="132" t="s">
        <v>37</v>
      </c>
      <c r="BV65" s="132" t="s">
        <v>37</v>
      </c>
      <c r="BW65" s="132" t="s">
        <v>37</v>
      </c>
      <c r="BX65" s="132" t="s">
        <v>37</v>
      </c>
      <c r="BY65" s="132" t="s">
        <v>37</v>
      </c>
      <c r="BZ65" s="132" t="s">
        <v>37</v>
      </c>
      <c r="CA65" s="139"/>
      <c r="CB65" s="132" t="s">
        <v>37</v>
      </c>
      <c r="CC65" s="132" t="s">
        <v>37</v>
      </c>
      <c r="CD65" s="132" t="s">
        <v>37</v>
      </c>
      <c r="CE65" s="132" t="s">
        <v>37</v>
      </c>
      <c r="CF65" s="132" t="s">
        <v>37</v>
      </c>
      <c r="CG65" s="132" t="s">
        <v>37</v>
      </c>
      <c r="CH65" s="132" t="s">
        <v>37</v>
      </c>
      <c r="CI65" s="132" t="s">
        <v>37</v>
      </c>
      <c r="CJ65" s="132" t="s">
        <v>37</v>
      </c>
      <c r="CK65" s="139"/>
      <c r="CL65" s="132" t="s">
        <v>37</v>
      </c>
      <c r="CM65" s="132" t="s">
        <v>37</v>
      </c>
      <c r="CN65" s="132" t="s">
        <v>37</v>
      </c>
      <c r="CO65" s="132" t="s">
        <v>37</v>
      </c>
      <c r="CP65" s="132" t="s">
        <v>37</v>
      </c>
      <c r="CQ65" s="132" t="s">
        <v>37</v>
      </c>
      <c r="CR65" s="132" t="s">
        <v>37</v>
      </c>
      <c r="CS65" s="132" t="s">
        <v>37</v>
      </c>
      <c r="CT65" s="132" t="s">
        <v>37</v>
      </c>
      <c r="CU65" s="132" t="s">
        <v>37</v>
      </c>
      <c r="CV65" s="132" t="s">
        <v>37</v>
      </c>
      <c r="CW65" s="132" t="s">
        <v>37</v>
      </c>
      <c r="CX65" s="132" t="s">
        <v>37</v>
      </c>
      <c r="CY65" s="139"/>
      <c r="CZ65" s="109" t="s">
        <v>37</v>
      </c>
      <c r="DA65" s="109" t="s">
        <v>37</v>
      </c>
      <c r="DB65" s="109" t="s">
        <v>37</v>
      </c>
      <c r="DC65" s="109" t="s">
        <v>37</v>
      </c>
      <c r="DD65" s="109" t="s">
        <v>37</v>
      </c>
      <c r="DE65" s="109" t="s">
        <v>37</v>
      </c>
      <c r="DF65" s="109" t="s">
        <v>37</v>
      </c>
      <c r="DG65" s="109" t="s">
        <v>37</v>
      </c>
      <c r="DH65" s="109" t="s">
        <v>37</v>
      </c>
      <c r="DI65" s="109" t="s">
        <v>37</v>
      </c>
      <c r="DJ65" s="109" t="s">
        <v>37</v>
      </c>
      <c r="DK65" s="109" t="s">
        <v>37</v>
      </c>
      <c r="DL65" s="109" t="s">
        <v>37</v>
      </c>
      <c r="DM65" s="139"/>
      <c r="DN65" s="132">
        <v>0.7</v>
      </c>
      <c r="DO65" s="132">
        <v>0.7</v>
      </c>
      <c r="DP65" s="109" t="s">
        <v>37</v>
      </c>
      <c r="DQ65" s="133" t="s">
        <v>37</v>
      </c>
      <c r="DR65" s="109" t="s">
        <v>37</v>
      </c>
      <c r="DS65" s="133" t="s">
        <v>37</v>
      </c>
      <c r="DT65" s="132">
        <v>0</v>
      </c>
      <c r="DU65" s="132">
        <v>0</v>
      </c>
      <c r="DV65" s="132">
        <v>0</v>
      </c>
      <c r="DW65" s="132">
        <v>0.7</v>
      </c>
      <c r="DX65" s="132">
        <v>0</v>
      </c>
      <c r="DY65" s="132">
        <v>0.7</v>
      </c>
      <c r="DZ65" s="132">
        <v>0</v>
      </c>
      <c r="EA65" s="132">
        <v>0</v>
      </c>
      <c r="EB65" s="5">
        <f t="shared" ref="EB65:EB66" si="67">SUM(E65:EA65)</f>
        <v>2.8</v>
      </c>
      <c r="EC65" s="5">
        <v>1</v>
      </c>
      <c r="ED65" s="5">
        <f t="shared" ref="ED65:ED66" si="68">EC65*8</f>
        <v>8</v>
      </c>
      <c r="EE65" s="7">
        <f t="shared" ref="EE65:EE66" si="69">ED65-EB65</f>
        <v>5.2</v>
      </c>
      <c r="EF65" s="40" t="str">
        <f t="shared" ref="EF65:EF66" si="70">IF(EE65&gt;0, "","NO")</f>
        <v/>
      </c>
      <c r="EG65" s="41" t="str">
        <f t="shared" ref="EG65:EG66" si="71">IF(EE65&gt;0, "", A65)</f>
        <v/>
      </c>
    </row>
    <row r="66" spans="1:137" x14ac:dyDescent="0.25">
      <c r="A66" s="129" t="s">
        <v>366</v>
      </c>
      <c r="B66" s="129"/>
      <c r="C66" s="130">
        <v>60</v>
      </c>
      <c r="D66" s="131"/>
      <c r="E66" s="132" t="s">
        <v>37</v>
      </c>
      <c r="F66" s="132" t="s">
        <v>37</v>
      </c>
      <c r="G66" s="132" t="s">
        <v>37</v>
      </c>
      <c r="H66" s="132" t="s">
        <v>37</v>
      </c>
      <c r="I66" s="132" t="s">
        <v>37</v>
      </c>
      <c r="J66" s="132" t="s">
        <v>37</v>
      </c>
      <c r="K66" s="132" t="s">
        <v>37</v>
      </c>
      <c r="L66" s="132" t="s">
        <v>37</v>
      </c>
      <c r="M66" s="139"/>
      <c r="N66" s="132" t="s">
        <v>37</v>
      </c>
      <c r="O66" s="132" t="s">
        <v>37</v>
      </c>
      <c r="P66" s="132" t="s">
        <v>37</v>
      </c>
      <c r="Q66" s="132" t="s">
        <v>37</v>
      </c>
      <c r="R66" s="132" t="s">
        <v>37</v>
      </c>
      <c r="S66" s="132" t="s">
        <v>37</v>
      </c>
      <c r="T66" s="132" t="s">
        <v>37</v>
      </c>
      <c r="U66" s="132" t="s">
        <v>37</v>
      </c>
      <c r="V66" s="139"/>
      <c r="W66" s="132" t="s">
        <v>37</v>
      </c>
      <c r="X66" s="132" t="s">
        <v>37</v>
      </c>
      <c r="Y66" s="132" t="s">
        <v>37</v>
      </c>
      <c r="Z66" s="132" t="s">
        <v>37</v>
      </c>
      <c r="AA66" s="132" t="s">
        <v>37</v>
      </c>
      <c r="AB66" s="132" t="s">
        <v>37</v>
      </c>
      <c r="AC66" s="132" t="s">
        <v>37</v>
      </c>
      <c r="AD66" s="132" t="s">
        <v>37</v>
      </c>
      <c r="AE66" s="132" t="s">
        <v>37</v>
      </c>
      <c r="AF66" s="139"/>
      <c r="AG66" s="132" t="s">
        <v>37</v>
      </c>
      <c r="AH66" s="132" t="s">
        <v>37</v>
      </c>
      <c r="AI66" s="132" t="s">
        <v>37</v>
      </c>
      <c r="AJ66" s="132" t="s">
        <v>37</v>
      </c>
      <c r="AK66" s="132" t="s">
        <v>37</v>
      </c>
      <c r="AL66" s="132" t="s">
        <v>37</v>
      </c>
      <c r="AM66" s="132" t="s">
        <v>37</v>
      </c>
      <c r="AN66" s="132" t="s">
        <v>37</v>
      </c>
      <c r="AO66" s="132" t="s">
        <v>37</v>
      </c>
      <c r="AP66" s="139"/>
      <c r="AQ66" s="132" t="s">
        <v>37</v>
      </c>
      <c r="AR66" s="132" t="s">
        <v>37</v>
      </c>
      <c r="AS66" s="132" t="s">
        <v>37</v>
      </c>
      <c r="AT66" s="132" t="s">
        <v>37</v>
      </c>
      <c r="AU66" s="132" t="s">
        <v>37</v>
      </c>
      <c r="AV66" s="132" t="s">
        <v>37</v>
      </c>
      <c r="AW66" s="132" t="s">
        <v>37</v>
      </c>
      <c r="AX66" s="132" t="s">
        <v>37</v>
      </c>
      <c r="AY66" s="132" t="s">
        <v>37</v>
      </c>
      <c r="AZ66" s="132" t="s">
        <v>37</v>
      </c>
      <c r="BA66" s="139"/>
      <c r="BB66" s="132" t="s">
        <v>37</v>
      </c>
      <c r="BC66" s="132" t="s">
        <v>37</v>
      </c>
      <c r="BD66" s="132" t="s">
        <v>37</v>
      </c>
      <c r="BE66" s="132" t="s">
        <v>37</v>
      </c>
      <c r="BF66" s="132" t="s">
        <v>37</v>
      </c>
      <c r="BG66" s="132" t="s">
        <v>37</v>
      </c>
      <c r="BH66" s="132" t="s">
        <v>37</v>
      </c>
      <c r="BI66" s="132" t="s">
        <v>37</v>
      </c>
      <c r="BJ66" s="132" t="s">
        <v>37</v>
      </c>
      <c r="BK66" s="132" t="s">
        <v>37</v>
      </c>
      <c r="BL66" s="132" t="s">
        <v>37</v>
      </c>
      <c r="BM66" s="132" t="s">
        <v>37</v>
      </c>
      <c r="BN66" s="132" t="s">
        <v>37</v>
      </c>
      <c r="BO66" s="132" t="s">
        <v>37</v>
      </c>
      <c r="BP66" s="139"/>
      <c r="BQ66" s="132" t="s">
        <v>37</v>
      </c>
      <c r="BR66" s="132" t="s">
        <v>37</v>
      </c>
      <c r="BS66" s="132" t="s">
        <v>37</v>
      </c>
      <c r="BT66" s="132" t="s">
        <v>37</v>
      </c>
      <c r="BU66" s="132" t="s">
        <v>37</v>
      </c>
      <c r="BV66" s="132" t="s">
        <v>37</v>
      </c>
      <c r="BW66" s="132" t="s">
        <v>37</v>
      </c>
      <c r="BX66" s="132" t="s">
        <v>37</v>
      </c>
      <c r="BY66" s="132" t="s">
        <v>37</v>
      </c>
      <c r="BZ66" s="132" t="s">
        <v>37</v>
      </c>
      <c r="CA66" s="139"/>
      <c r="CB66" s="132" t="s">
        <v>37</v>
      </c>
      <c r="CC66" s="132" t="s">
        <v>37</v>
      </c>
      <c r="CD66" s="132" t="s">
        <v>37</v>
      </c>
      <c r="CE66" s="132" t="s">
        <v>37</v>
      </c>
      <c r="CF66" s="132" t="s">
        <v>37</v>
      </c>
      <c r="CG66" s="132" t="s">
        <v>37</v>
      </c>
      <c r="CH66" s="132" t="s">
        <v>37</v>
      </c>
      <c r="CI66" s="132" t="s">
        <v>37</v>
      </c>
      <c r="CJ66" s="132" t="s">
        <v>37</v>
      </c>
      <c r="CK66" s="139"/>
      <c r="CL66" s="132" t="s">
        <v>37</v>
      </c>
      <c r="CM66" s="132" t="s">
        <v>37</v>
      </c>
      <c r="CN66" s="132" t="s">
        <v>37</v>
      </c>
      <c r="CO66" s="132" t="s">
        <v>37</v>
      </c>
      <c r="CP66" s="132" t="s">
        <v>37</v>
      </c>
      <c r="CQ66" s="132" t="s">
        <v>37</v>
      </c>
      <c r="CR66" s="132" t="s">
        <v>37</v>
      </c>
      <c r="CS66" s="132" t="s">
        <v>37</v>
      </c>
      <c r="CT66" s="132" t="s">
        <v>37</v>
      </c>
      <c r="CU66" s="132" t="s">
        <v>37</v>
      </c>
      <c r="CV66" s="132" t="s">
        <v>37</v>
      </c>
      <c r="CW66" s="132" t="s">
        <v>37</v>
      </c>
      <c r="CX66" s="132" t="s">
        <v>37</v>
      </c>
      <c r="CY66" s="139"/>
      <c r="CZ66" s="109" t="s">
        <v>37</v>
      </c>
      <c r="DA66" s="109" t="s">
        <v>37</v>
      </c>
      <c r="DB66" s="109" t="s">
        <v>37</v>
      </c>
      <c r="DC66" s="109" t="s">
        <v>37</v>
      </c>
      <c r="DD66" s="109" t="s">
        <v>37</v>
      </c>
      <c r="DE66" s="109" t="s">
        <v>37</v>
      </c>
      <c r="DF66" s="109" t="s">
        <v>37</v>
      </c>
      <c r="DG66" s="109" t="s">
        <v>37</v>
      </c>
      <c r="DH66" s="109" t="s">
        <v>37</v>
      </c>
      <c r="DI66" s="109" t="s">
        <v>37</v>
      </c>
      <c r="DJ66" s="109" t="s">
        <v>37</v>
      </c>
      <c r="DK66" s="109" t="s">
        <v>37</v>
      </c>
      <c r="DL66" s="109" t="s">
        <v>37</v>
      </c>
      <c r="DM66" s="139"/>
      <c r="DN66" s="132">
        <v>0.7</v>
      </c>
      <c r="DO66" s="132">
        <v>0.7</v>
      </c>
      <c r="DP66" s="109" t="s">
        <v>37</v>
      </c>
      <c r="DQ66" s="133" t="s">
        <v>37</v>
      </c>
      <c r="DR66" s="109" t="s">
        <v>37</v>
      </c>
      <c r="DS66" s="133" t="s">
        <v>37</v>
      </c>
      <c r="DT66" s="132">
        <v>0.7</v>
      </c>
      <c r="DU66" s="132">
        <v>0</v>
      </c>
      <c r="DV66" s="132">
        <v>0</v>
      </c>
      <c r="DW66" s="132">
        <v>0.7</v>
      </c>
      <c r="DX66" s="132">
        <v>0</v>
      </c>
      <c r="DY66" s="132">
        <v>0</v>
      </c>
      <c r="DZ66" s="132">
        <v>0</v>
      </c>
      <c r="EA66" s="132">
        <v>0</v>
      </c>
      <c r="EB66" s="5">
        <f t="shared" si="67"/>
        <v>2.8</v>
      </c>
      <c r="EC66" s="5">
        <v>1</v>
      </c>
      <c r="ED66" s="5">
        <f t="shared" si="68"/>
        <v>8</v>
      </c>
      <c r="EE66" s="7">
        <f t="shared" si="69"/>
        <v>5.2</v>
      </c>
      <c r="EF66" s="40" t="str">
        <f t="shared" si="70"/>
        <v/>
      </c>
      <c r="EG66" s="41" t="str">
        <f t="shared" si="71"/>
        <v/>
      </c>
    </row>
    <row r="67" spans="1:137" x14ac:dyDescent="0.25">
      <c r="A67" s="129" t="s">
        <v>367</v>
      </c>
      <c r="B67" s="129"/>
      <c r="C67" s="130">
        <v>59</v>
      </c>
      <c r="D67" s="131"/>
      <c r="E67" s="132" t="s">
        <v>37</v>
      </c>
      <c r="F67" s="132" t="s">
        <v>37</v>
      </c>
      <c r="G67" s="132" t="s">
        <v>37</v>
      </c>
      <c r="H67" s="132" t="s">
        <v>37</v>
      </c>
      <c r="I67" s="132" t="s">
        <v>37</v>
      </c>
      <c r="J67" s="132" t="s">
        <v>37</v>
      </c>
      <c r="K67" s="132" t="s">
        <v>37</v>
      </c>
      <c r="L67" s="132" t="s">
        <v>37</v>
      </c>
      <c r="M67" s="139"/>
      <c r="N67" s="132" t="s">
        <v>37</v>
      </c>
      <c r="O67" s="132" t="s">
        <v>37</v>
      </c>
      <c r="P67" s="132" t="s">
        <v>37</v>
      </c>
      <c r="Q67" s="132" t="s">
        <v>37</v>
      </c>
      <c r="R67" s="132" t="s">
        <v>37</v>
      </c>
      <c r="S67" s="132" t="s">
        <v>37</v>
      </c>
      <c r="T67" s="132" t="s">
        <v>37</v>
      </c>
      <c r="U67" s="132" t="s">
        <v>37</v>
      </c>
      <c r="V67" s="139"/>
      <c r="W67" s="132" t="s">
        <v>37</v>
      </c>
      <c r="X67" s="132" t="s">
        <v>37</v>
      </c>
      <c r="Y67" s="132" t="s">
        <v>37</v>
      </c>
      <c r="Z67" s="132" t="s">
        <v>37</v>
      </c>
      <c r="AA67" s="132" t="s">
        <v>37</v>
      </c>
      <c r="AB67" s="132" t="s">
        <v>37</v>
      </c>
      <c r="AC67" s="132" t="s">
        <v>37</v>
      </c>
      <c r="AD67" s="132" t="s">
        <v>37</v>
      </c>
      <c r="AE67" s="132" t="s">
        <v>37</v>
      </c>
      <c r="AF67" s="139"/>
      <c r="AG67" s="132" t="s">
        <v>37</v>
      </c>
      <c r="AH67" s="132" t="s">
        <v>37</v>
      </c>
      <c r="AI67" s="132" t="s">
        <v>37</v>
      </c>
      <c r="AJ67" s="132" t="s">
        <v>37</v>
      </c>
      <c r="AK67" s="132" t="s">
        <v>37</v>
      </c>
      <c r="AL67" s="132" t="s">
        <v>37</v>
      </c>
      <c r="AM67" s="132" t="s">
        <v>37</v>
      </c>
      <c r="AN67" s="132" t="s">
        <v>37</v>
      </c>
      <c r="AO67" s="132" t="s">
        <v>37</v>
      </c>
      <c r="AP67" s="139"/>
      <c r="AQ67" s="132" t="s">
        <v>37</v>
      </c>
      <c r="AR67" s="132" t="s">
        <v>37</v>
      </c>
      <c r="AS67" s="132" t="s">
        <v>37</v>
      </c>
      <c r="AT67" s="132" t="s">
        <v>37</v>
      </c>
      <c r="AU67" s="132" t="s">
        <v>37</v>
      </c>
      <c r="AV67" s="132" t="s">
        <v>37</v>
      </c>
      <c r="AW67" s="132" t="s">
        <v>37</v>
      </c>
      <c r="AX67" s="132" t="s">
        <v>37</v>
      </c>
      <c r="AY67" s="132" t="s">
        <v>37</v>
      </c>
      <c r="AZ67" s="132" t="s">
        <v>37</v>
      </c>
      <c r="BA67" s="139"/>
      <c r="BB67" s="132" t="s">
        <v>37</v>
      </c>
      <c r="BC67" s="132" t="s">
        <v>37</v>
      </c>
      <c r="BD67" s="132" t="s">
        <v>37</v>
      </c>
      <c r="BE67" s="132" t="s">
        <v>37</v>
      </c>
      <c r="BF67" s="132" t="s">
        <v>37</v>
      </c>
      <c r="BG67" s="132" t="s">
        <v>37</v>
      </c>
      <c r="BH67" s="132" t="s">
        <v>37</v>
      </c>
      <c r="BI67" s="132" t="s">
        <v>37</v>
      </c>
      <c r="BJ67" s="132" t="s">
        <v>37</v>
      </c>
      <c r="BK67" s="132" t="s">
        <v>37</v>
      </c>
      <c r="BL67" s="132" t="s">
        <v>37</v>
      </c>
      <c r="BM67" s="132" t="s">
        <v>37</v>
      </c>
      <c r="BN67" s="132" t="s">
        <v>37</v>
      </c>
      <c r="BO67" s="132" t="s">
        <v>37</v>
      </c>
      <c r="BP67" s="139"/>
      <c r="BQ67" s="132" t="s">
        <v>37</v>
      </c>
      <c r="BR67" s="132" t="s">
        <v>37</v>
      </c>
      <c r="BS67" s="132" t="s">
        <v>37</v>
      </c>
      <c r="BT67" s="132" t="s">
        <v>37</v>
      </c>
      <c r="BU67" s="132" t="s">
        <v>37</v>
      </c>
      <c r="BV67" s="132" t="s">
        <v>37</v>
      </c>
      <c r="BW67" s="132" t="s">
        <v>37</v>
      </c>
      <c r="BX67" s="132" t="s">
        <v>37</v>
      </c>
      <c r="BY67" s="132" t="s">
        <v>37</v>
      </c>
      <c r="BZ67" s="132" t="s">
        <v>37</v>
      </c>
      <c r="CA67" s="139"/>
      <c r="CB67" s="132" t="s">
        <v>37</v>
      </c>
      <c r="CC67" s="132" t="s">
        <v>37</v>
      </c>
      <c r="CD67" s="132" t="s">
        <v>37</v>
      </c>
      <c r="CE67" s="132" t="s">
        <v>37</v>
      </c>
      <c r="CF67" s="132" t="s">
        <v>37</v>
      </c>
      <c r="CG67" s="132" t="s">
        <v>37</v>
      </c>
      <c r="CH67" s="132" t="s">
        <v>37</v>
      </c>
      <c r="CI67" s="132" t="s">
        <v>37</v>
      </c>
      <c r="CJ67" s="132" t="s">
        <v>37</v>
      </c>
      <c r="CK67" s="139"/>
      <c r="CL67" s="132" t="s">
        <v>37</v>
      </c>
      <c r="CM67" s="132" t="s">
        <v>37</v>
      </c>
      <c r="CN67" s="132" t="s">
        <v>37</v>
      </c>
      <c r="CO67" s="132" t="s">
        <v>37</v>
      </c>
      <c r="CP67" s="132" t="s">
        <v>37</v>
      </c>
      <c r="CQ67" s="132" t="s">
        <v>37</v>
      </c>
      <c r="CR67" s="132" t="s">
        <v>37</v>
      </c>
      <c r="CS67" s="132" t="s">
        <v>37</v>
      </c>
      <c r="CT67" s="132" t="s">
        <v>37</v>
      </c>
      <c r="CU67" s="132" t="s">
        <v>37</v>
      </c>
      <c r="CV67" s="132" t="s">
        <v>37</v>
      </c>
      <c r="CW67" s="132" t="s">
        <v>37</v>
      </c>
      <c r="CX67" s="132" t="s">
        <v>37</v>
      </c>
      <c r="CY67" s="139"/>
      <c r="CZ67" s="109" t="s">
        <v>37</v>
      </c>
      <c r="DA67" s="109" t="s">
        <v>37</v>
      </c>
      <c r="DB67" s="109" t="s">
        <v>37</v>
      </c>
      <c r="DC67" s="109" t="s">
        <v>37</v>
      </c>
      <c r="DD67" s="109" t="s">
        <v>37</v>
      </c>
      <c r="DE67" s="109" t="s">
        <v>37</v>
      </c>
      <c r="DF67" s="109" t="s">
        <v>37</v>
      </c>
      <c r="DG67" s="109" t="s">
        <v>37</v>
      </c>
      <c r="DH67" s="109" t="s">
        <v>37</v>
      </c>
      <c r="DI67" s="109" t="s">
        <v>37</v>
      </c>
      <c r="DJ67" s="109" t="s">
        <v>37</v>
      </c>
      <c r="DK67" s="109" t="s">
        <v>37</v>
      </c>
      <c r="DL67" s="109" t="s">
        <v>37</v>
      </c>
      <c r="DM67" s="139"/>
      <c r="DN67" s="132">
        <v>0.7</v>
      </c>
      <c r="DO67" s="132">
        <v>0.7</v>
      </c>
      <c r="DP67" s="109" t="s">
        <v>37</v>
      </c>
      <c r="DQ67" s="133" t="s">
        <v>37</v>
      </c>
      <c r="DR67" s="109" t="s">
        <v>37</v>
      </c>
      <c r="DS67" s="133" t="s">
        <v>37</v>
      </c>
      <c r="DT67" s="132">
        <v>0.7</v>
      </c>
      <c r="DU67" s="132">
        <v>0.7</v>
      </c>
      <c r="DV67" s="132">
        <v>0</v>
      </c>
      <c r="DW67" s="132">
        <v>0.7</v>
      </c>
      <c r="DX67" s="132">
        <v>0</v>
      </c>
      <c r="DY67" s="132">
        <v>0.7</v>
      </c>
      <c r="DZ67" s="132">
        <v>0.7</v>
      </c>
      <c r="EA67" s="132">
        <v>0.7</v>
      </c>
      <c r="EB67" s="5">
        <f t="shared" ref="EB67:EB68" si="72">SUM(E67:EA67)</f>
        <v>5.6000000000000005</v>
      </c>
      <c r="EC67" s="5">
        <v>1</v>
      </c>
      <c r="ED67" s="5">
        <f t="shared" ref="ED67:ED68" si="73">EC67*8</f>
        <v>8</v>
      </c>
      <c r="EE67" s="7">
        <f t="shared" ref="EE67:EE68" si="74">ED67-EB67</f>
        <v>2.3999999999999995</v>
      </c>
      <c r="EF67" s="40" t="str">
        <f t="shared" ref="EF67:EF68" si="75">IF(EE67&gt;0, "","NO")</f>
        <v/>
      </c>
      <c r="EG67" s="41" t="str">
        <f t="shared" ref="EG67:EG68" si="76">IF(EE67&gt;0, "", A67)</f>
        <v/>
      </c>
    </row>
    <row r="68" spans="1:137" x14ac:dyDescent="0.25">
      <c r="A68" s="129" t="s">
        <v>368</v>
      </c>
      <c r="B68" s="129"/>
      <c r="C68" s="130">
        <v>60</v>
      </c>
      <c r="D68" s="131"/>
      <c r="E68" s="132" t="s">
        <v>37</v>
      </c>
      <c r="F68" s="132" t="s">
        <v>37</v>
      </c>
      <c r="G68" s="132" t="s">
        <v>37</v>
      </c>
      <c r="H68" s="132" t="s">
        <v>37</v>
      </c>
      <c r="I68" s="132" t="s">
        <v>37</v>
      </c>
      <c r="J68" s="132" t="s">
        <v>37</v>
      </c>
      <c r="K68" s="132" t="s">
        <v>37</v>
      </c>
      <c r="L68" s="132" t="s">
        <v>37</v>
      </c>
      <c r="M68" s="139"/>
      <c r="N68" s="132" t="s">
        <v>37</v>
      </c>
      <c r="O68" s="132" t="s">
        <v>37</v>
      </c>
      <c r="P68" s="132" t="s">
        <v>37</v>
      </c>
      <c r="Q68" s="132" t="s">
        <v>37</v>
      </c>
      <c r="R68" s="132" t="s">
        <v>37</v>
      </c>
      <c r="S68" s="132" t="s">
        <v>37</v>
      </c>
      <c r="T68" s="132" t="s">
        <v>37</v>
      </c>
      <c r="U68" s="132" t="s">
        <v>37</v>
      </c>
      <c r="V68" s="139"/>
      <c r="W68" s="132" t="s">
        <v>37</v>
      </c>
      <c r="X68" s="132" t="s">
        <v>37</v>
      </c>
      <c r="Y68" s="132" t="s">
        <v>37</v>
      </c>
      <c r="Z68" s="132" t="s">
        <v>37</v>
      </c>
      <c r="AA68" s="132" t="s">
        <v>37</v>
      </c>
      <c r="AB68" s="132" t="s">
        <v>37</v>
      </c>
      <c r="AC68" s="132" t="s">
        <v>37</v>
      </c>
      <c r="AD68" s="132" t="s">
        <v>37</v>
      </c>
      <c r="AE68" s="132" t="s">
        <v>37</v>
      </c>
      <c r="AF68" s="139"/>
      <c r="AG68" s="132" t="s">
        <v>37</v>
      </c>
      <c r="AH68" s="132" t="s">
        <v>37</v>
      </c>
      <c r="AI68" s="132" t="s">
        <v>37</v>
      </c>
      <c r="AJ68" s="132" t="s">
        <v>37</v>
      </c>
      <c r="AK68" s="132" t="s">
        <v>37</v>
      </c>
      <c r="AL68" s="132" t="s">
        <v>37</v>
      </c>
      <c r="AM68" s="132" t="s">
        <v>37</v>
      </c>
      <c r="AN68" s="132" t="s">
        <v>37</v>
      </c>
      <c r="AO68" s="132" t="s">
        <v>37</v>
      </c>
      <c r="AP68" s="139"/>
      <c r="AQ68" s="132" t="s">
        <v>37</v>
      </c>
      <c r="AR68" s="132" t="s">
        <v>37</v>
      </c>
      <c r="AS68" s="132" t="s">
        <v>37</v>
      </c>
      <c r="AT68" s="132" t="s">
        <v>37</v>
      </c>
      <c r="AU68" s="132" t="s">
        <v>37</v>
      </c>
      <c r="AV68" s="132" t="s">
        <v>37</v>
      </c>
      <c r="AW68" s="132" t="s">
        <v>37</v>
      </c>
      <c r="AX68" s="132" t="s">
        <v>37</v>
      </c>
      <c r="AY68" s="132" t="s">
        <v>37</v>
      </c>
      <c r="AZ68" s="132" t="s">
        <v>37</v>
      </c>
      <c r="BA68" s="139"/>
      <c r="BB68" s="132" t="s">
        <v>37</v>
      </c>
      <c r="BC68" s="132" t="s">
        <v>37</v>
      </c>
      <c r="BD68" s="132" t="s">
        <v>37</v>
      </c>
      <c r="BE68" s="132" t="s">
        <v>37</v>
      </c>
      <c r="BF68" s="132" t="s">
        <v>37</v>
      </c>
      <c r="BG68" s="132" t="s">
        <v>37</v>
      </c>
      <c r="BH68" s="132" t="s">
        <v>37</v>
      </c>
      <c r="BI68" s="132" t="s">
        <v>37</v>
      </c>
      <c r="BJ68" s="132" t="s">
        <v>37</v>
      </c>
      <c r="BK68" s="132" t="s">
        <v>37</v>
      </c>
      <c r="BL68" s="132" t="s">
        <v>37</v>
      </c>
      <c r="BM68" s="132" t="s">
        <v>37</v>
      </c>
      <c r="BN68" s="132" t="s">
        <v>37</v>
      </c>
      <c r="BO68" s="132" t="s">
        <v>37</v>
      </c>
      <c r="BP68" s="139"/>
      <c r="BQ68" s="132" t="s">
        <v>37</v>
      </c>
      <c r="BR68" s="132" t="s">
        <v>37</v>
      </c>
      <c r="BS68" s="132" t="s">
        <v>37</v>
      </c>
      <c r="BT68" s="132" t="s">
        <v>37</v>
      </c>
      <c r="BU68" s="132" t="s">
        <v>37</v>
      </c>
      <c r="BV68" s="132" t="s">
        <v>37</v>
      </c>
      <c r="BW68" s="132" t="s">
        <v>37</v>
      </c>
      <c r="BX68" s="132" t="s">
        <v>37</v>
      </c>
      <c r="BY68" s="132" t="s">
        <v>37</v>
      </c>
      <c r="BZ68" s="132" t="s">
        <v>37</v>
      </c>
      <c r="CA68" s="139"/>
      <c r="CB68" s="132" t="s">
        <v>37</v>
      </c>
      <c r="CC68" s="132" t="s">
        <v>37</v>
      </c>
      <c r="CD68" s="132" t="s">
        <v>37</v>
      </c>
      <c r="CE68" s="132" t="s">
        <v>37</v>
      </c>
      <c r="CF68" s="132" t="s">
        <v>37</v>
      </c>
      <c r="CG68" s="132" t="s">
        <v>37</v>
      </c>
      <c r="CH68" s="132" t="s">
        <v>37</v>
      </c>
      <c r="CI68" s="132" t="s">
        <v>37</v>
      </c>
      <c r="CJ68" s="132" t="s">
        <v>37</v>
      </c>
      <c r="CK68" s="139"/>
      <c r="CL68" s="132" t="s">
        <v>37</v>
      </c>
      <c r="CM68" s="132" t="s">
        <v>37</v>
      </c>
      <c r="CN68" s="132" t="s">
        <v>37</v>
      </c>
      <c r="CO68" s="132" t="s">
        <v>37</v>
      </c>
      <c r="CP68" s="132" t="s">
        <v>37</v>
      </c>
      <c r="CQ68" s="132" t="s">
        <v>37</v>
      </c>
      <c r="CR68" s="132" t="s">
        <v>37</v>
      </c>
      <c r="CS68" s="132" t="s">
        <v>37</v>
      </c>
      <c r="CT68" s="132" t="s">
        <v>37</v>
      </c>
      <c r="CU68" s="132" t="s">
        <v>37</v>
      </c>
      <c r="CV68" s="132" t="s">
        <v>37</v>
      </c>
      <c r="CW68" s="132" t="s">
        <v>37</v>
      </c>
      <c r="CX68" s="132" t="s">
        <v>37</v>
      </c>
      <c r="CY68" s="139"/>
      <c r="CZ68" s="109" t="s">
        <v>37</v>
      </c>
      <c r="DA68" s="109" t="s">
        <v>37</v>
      </c>
      <c r="DB68" s="109" t="s">
        <v>37</v>
      </c>
      <c r="DC68" s="109" t="s">
        <v>37</v>
      </c>
      <c r="DD68" s="109" t="s">
        <v>37</v>
      </c>
      <c r="DE68" s="109" t="s">
        <v>37</v>
      </c>
      <c r="DF68" s="109" t="s">
        <v>37</v>
      </c>
      <c r="DG68" s="109" t="s">
        <v>37</v>
      </c>
      <c r="DH68" s="109" t="s">
        <v>37</v>
      </c>
      <c r="DI68" s="109" t="s">
        <v>37</v>
      </c>
      <c r="DJ68" s="109" t="s">
        <v>37</v>
      </c>
      <c r="DK68" s="109" t="s">
        <v>37</v>
      </c>
      <c r="DL68" s="109" t="s">
        <v>37</v>
      </c>
      <c r="DM68" s="139"/>
      <c r="DN68" s="132">
        <v>0.7</v>
      </c>
      <c r="DO68" s="132">
        <v>0.7</v>
      </c>
      <c r="DP68" s="109" t="s">
        <v>37</v>
      </c>
      <c r="DQ68" s="133" t="s">
        <v>37</v>
      </c>
      <c r="DR68" s="109" t="s">
        <v>37</v>
      </c>
      <c r="DS68" s="133" t="s">
        <v>37</v>
      </c>
      <c r="DT68" s="132">
        <v>0.7</v>
      </c>
      <c r="DU68" s="132">
        <v>0</v>
      </c>
      <c r="DV68" s="132">
        <v>0</v>
      </c>
      <c r="DW68" s="132">
        <v>0</v>
      </c>
      <c r="DX68" s="132">
        <v>0</v>
      </c>
      <c r="DY68" s="132">
        <v>0</v>
      </c>
      <c r="DZ68" s="132">
        <v>0</v>
      </c>
      <c r="EA68" s="132">
        <v>0</v>
      </c>
      <c r="EB68" s="5">
        <f t="shared" si="72"/>
        <v>2.0999999999999996</v>
      </c>
      <c r="EC68" s="5">
        <v>1</v>
      </c>
      <c r="ED68" s="5">
        <f t="shared" si="73"/>
        <v>8</v>
      </c>
      <c r="EE68" s="7">
        <f t="shared" si="74"/>
        <v>5.9</v>
      </c>
      <c r="EF68" s="40" t="str">
        <f t="shared" si="75"/>
        <v/>
      </c>
      <c r="EG68" s="41" t="str">
        <f t="shared" si="76"/>
        <v/>
      </c>
    </row>
    <row r="69" spans="1:137" x14ac:dyDescent="0.25">
      <c r="A69" s="129" t="s">
        <v>374</v>
      </c>
      <c r="B69" s="129"/>
      <c r="C69" s="130">
        <v>59</v>
      </c>
      <c r="D69" s="131"/>
      <c r="E69" s="132" t="s">
        <v>37</v>
      </c>
      <c r="F69" s="132" t="s">
        <v>37</v>
      </c>
      <c r="G69" s="132" t="s">
        <v>37</v>
      </c>
      <c r="H69" s="132" t="s">
        <v>37</v>
      </c>
      <c r="I69" s="132" t="s">
        <v>37</v>
      </c>
      <c r="J69" s="132" t="s">
        <v>37</v>
      </c>
      <c r="K69" s="132" t="s">
        <v>37</v>
      </c>
      <c r="L69" s="132" t="s">
        <v>37</v>
      </c>
      <c r="M69" s="139"/>
      <c r="N69" s="132" t="s">
        <v>37</v>
      </c>
      <c r="O69" s="132" t="s">
        <v>37</v>
      </c>
      <c r="P69" s="132" t="s">
        <v>37</v>
      </c>
      <c r="Q69" s="132" t="s">
        <v>37</v>
      </c>
      <c r="R69" s="132" t="s">
        <v>37</v>
      </c>
      <c r="S69" s="132" t="s">
        <v>37</v>
      </c>
      <c r="T69" s="132" t="s">
        <v>37</v>
      </c>
      <c r="U69" s="132" t="s">
        <v>37</v>
      </c>
      <c r="V69" s="139"/>
      <c r="W69" s="132" t="s">
        <v>37</v>
      </c>
      <c r="X69" s="132" t="s">
        <v>37</v>
      </c>
      <c r="Y69" s="132" t="s">
        <v>37</v>
      </c>
      <c r="Z69" s="132" t="s">
        <v>37</v>
      </c>
      <c r="AA69" s="132" t="s">
        <v>37</v>
      </c>
      <c r="AB69" s="132" t="s">
        <v>37</v>
      </c>
      <c r="AC69" s="132" t="s">
        <v>37</v>
      </c>
      <c r="AD69" s="132" t="s">
        <v>37</v>
      </c>
      <c r="AE69" s="132" t="s">
        <v>37</v>
      </c>
      <c r="AF69" s="139"/>
      <c r="AG69" s="132" t="s">
        <v>37</v>
      </c>
      <c r="AH69" s="132" t="s">
        <v>37</v>
      </c>
      <c r="AI69" s="132" t="s">
        <v>37</v>
      </c>
      <c r="AJ69" s="132" t="s">
        <v>37</v>
      </c>
      <c r="AK69" s="132" t="s">
        <v>37</v>
      </c>
      <c r="AL69" s="132" t="s">
        <v>37</v>
      </c>
      <c r="AM69" s="132" t="s">
        <v>37</v>
      </c>
      <c r="AN69" s="132" t="s">
        <v>37</v>
      </c>
      <c r="AO69" s="132" t="s">
        <v>37</v>
      </c>
      <c r="AP69" s="139"/>
      <c r="AQ69" s="132" t="s">
        <v>37</v>
      </c>
      <c r="AR69" s="132" t="s">
        <v>37</v>
      </c>
      <c r="AS69" s="132" t="s">
        <v>37</v>
      </c>
      <c r="AT69" s="132" t="s">
        <v>37</v>
      </c>
      <c r="AU69" s="132" t="s">
        <v>37</v>
      </c>
      <c r="AV69" s="132" t="s">
        <v>37</v>
      </c>
      <c r="AW69" s="132" t="s">
        <v>37</v>
      </c>
      <c r="AX69" s="132" t="s">
        <v>37</v>
      </c>
      <c r="AY69" s="132" t="s">
        <v>37</v>
      </c>
      <c r="AZ69" s="132" t="s">
        <v>37</v>
      </c>
      <c r="BA69" s="139"/>
      <c r="BB69" s="132" t="s">
        <v>37</v>
      </c>
      <c r="BC69" s="132" t="s">
        <v>37</v>
      </c>
      <c r="BD69" s="132" t="s">
        <v>37</v>
      </c>
      <c r="BE69" s="132" t="s">
        <v>37</v>
      </c>
      <c r="BF69" s="132" t="s">
        <v>37</v>
      </c>
      <c r="BG69" s="132" t="s">
        <v>37</v>
      </c>
      <c r="BH69" s="132" t="s">
        <v>37</v>
      </c>
      <c r="BI69" s="132" t="s">
        <v>37</v>
      </c>
      <c r="BJ69" s="132" t="s">
        <v>37</v>
      </c>
      <c r="BK69" s="132" t="s">
        <v>37</v>
      </c>
      <c r="BL69" s="132" t="s">
        <v>37</v>
      </c>
      <c r="BM69" s="132" t="s">
        <v>37</v>
      </c>
      <c r="BN69" s="132" t="s">
        <v>37</v>
      </c>
      <c r="BO69" s="132" t="s">
        <v>37</v>
      </c>
      <c r="BP69" s="139"/>
      <c r="BQ69" s="132" t="s">
        <v>37</v>
      </c>
      <c r="BR69" s="132" t="s">
        <v>37</v>
      </c>
      <c r="BS69" s="132" t="s">
        <v>37</v>
      </c>
      <c r="BT69" s="132" t="s">
        <v>37</v>
      </c>
      <c r="BU69" s="132" t="s">
        <v>37</v>
      </c>
      <c r="BV69" s="132" t="s">
        <v>37</v>
      </c>
      <c r="BW69" s="132" t="s">
        <v>37</v>
      </c>
      <c r="BX69" s="132" t="s">
        <v>37</v>
      </c>
      <c r="BY69" s="132" t="s">
        <v>37</v>
      </c>
      <c r="BZ69" s="132" t="s">
        <v>37</v>
      </c>
      <c r="CA69" s="139"/>
      <c r="CB69" s="132" t="s">
        <v>37</v>
      </c>
      <c r="CC69" s="132" t="s">
        <v>37</v>
      </c>
      <c r="CD69" s="132" t="s">
        <v>37</v>
      </c>
      <c r="CE69" s="132" t="s">
        <v>37</v>
      </c>
      <c r="CF69" s="132" t="s">
        <v>37</v>
      </c>
      <c r="CG69" s="132" t="s">
        <v>37</v>
      </c>
      <c r="CH69" s="132" t="s">
        <v>37</v>
      </c>
      <c r="CI69" s="132" t="s">
        <v>37</v>
      </c>
      <c r="CJ69" s="132" t="s">
        <v>37</v>
      </c>
      <c r="CK69" s="139"/>
      <c r="CL69" s="132" t="s">
        <v>37</v>
      </c>
      <c r="CM69" s="132" t="s">
        <v>37</v>
      </c>
      <c r="CN69" s="132" t="s">
        <v>37</v>
      </c>
      <c r="CO69" s="132" t="s">
        <v>37</v>
      </c>
      <c r="CP69" s="132" t="s">
        <v>37</v>
      </c>
      <c r="CQ69" s="132" t="s">
        <v>37</v>
      </c>
      <c r="CR69" s="132" t="s">
        <v>37</v>
      </c>
      <c r="CS69" s="132" t="s">
        <v>37</v>
      </c>
      <c r="CT69" s="132" t="s">
        <v>37</v>
      </c>
      <c r="CU69" s="132" t="s">
        <v>37</v>
      </c>
      <c r="CV69" s="132" t="s">
        <v>37</v>
      </c>
      <c r="CW69" s="132" t="s">
        <v>37</v>
      </c>
      <c r="CX69" s="132" t="s">
        <v>37</v>
      </c>
      <c r="CY69" s="139"/>
      <c r="CZ69" s="109" t="s">
        <v>37</v>
      </c>
      <c r="DA69" s="109" t="s">
        <v>37</v>
      </c>
      <c r="DB69" s="109" t="s">
        <v>37</v>
      </c>
      <c r="DC69" s="109" t="s">
        <v>37</v>
      </c>
      <c r="DD69" s="109" t="s">
        <v>37</v>
      </c>
      <c r="DE69" s="109" t="s">
        <v>37</v>
      </c>
      <c r="DF69" s="109" t="s">
        <v>37</v>
      </c>
      <c r="DG69" s="109" t="s">
        <v>37</v>
      </c>
      <c r="DH69" s="109" t="s">
        <v>37</v>
      </c>
      <c r="DI69" s="109" t="s">
        <v>37</v>
      </c>
      <c r="DJ69" s="109" t="s">
        <v>37</v>
      </c>
      <c r="DK69" s="109" t="s">
        <v>37</v>
      </c>
      <c r="DL69" s="109" t="s">
        <v>37</v>
      </c>
      <c r="DM69" s="139"/>
      <c r="DN69" s="109" t="s">
        <v>37</v>
      </c>
      <c r="DO69" s="109"/>
      <c r="DP69" s="109" t="s">
        <v>37</v>
      </c>
      <c r="DQ69" s="133" t="s">
        <v>37</v>
      </c>
      <c r="DR69" s="109" t="s">
        <v>37</v>
      </c>
      <c r="DS69" s="133" t="s">
        <v>37</v>
      </c>
      <c r="DT69" s="109" t="s">
        <v>37</v>
      </c>
      <c r="DU69" s="109">
        <v>0.7</v>
      </c>
      <c r="DV69" s="132">
        <v>0.7</v>
      </c>
      <c r="DW69" s="132">
        <v>0.7</v>
      </c>
      <c r="DX69" s="132">
        <v>0.7</v>
      </c>
      <c r="DY69" s="132">
        <v>0.7</v>
      </c>
      <c r="DZ69" s="132">
        <v>0.7</v>
      </c>
      <c r="EA69" s="132">
        <v>0</v>
      </c>
      <c r="EB69" s="5">
        <f t="shared" si="62"/>
        <v>4.2</v>
      </c>
      <c r="EC69" s="5">
        <v>1</v>
      </c>
      <c r="ED69" s="5">
        <f t="shared" si="63"/>
        <v>8</v>
      </c>
      <c r="EE69" s="7">
        <f t="shared" si="64"/>
        <v>3.8</v>
      </c>
      <c r="EF69" s="40" t="str">
        <f t="shared" si="65"/>
        <v/>
      </c>
      <c r="EG69" s="41" t="str">
        <f t="shared" si="66"/>
        <v/>
      </c>
    </row>
    <row r="70" spans="1:137" x14ac:dyDescent="0.25">
      <c r="A70" s="129" t="s">
        <v>375</v>
      </c>
      <c r="B70" s="129"/>
      <c r="C70" s="130">
        <v>60</v>
      </c>
      <c r="D70" s="131"/>
      <c r="E70" s="132" t="s">
        <v>37</v>
      </c>
      <c r="F70" s="132" t="s">
        <v>37</v>
      </c>
      <c r="G70" s="132" t="s">
        <v>37</v>
      </c>
      <c r="H70" s="132" t="s">
        <v>37</v>
      </c>
      <c r="I70" s="132" t="s">
        <v>37</v>
      </c>
      <c r="J70" s="132" t="s">
        <v>37</v>
      </c>
      <c r="K70" s="132" t="s">
        <v>37</v>
      </c>
      <c r="L70" s="132" t="s">
        <v>37</v>
      </c>
      <c r="M70" s="139"/>
      <c r="N70" s="132" t="s">
        <v>37</v>
      </c>
      <c r="O70" s="132" t="s">
        <v>37</v>
      </c>
      <c r="P70" s="132" t="s">
        <v>37</v>
      </c>
      <c r="Q70" s="132" t="s">
        <v>37</v>
      </c>
      <c r="R70" s="132" t="s">
        <v>37</v>
      </c>
      <c r="S70" s="132" t="s">
        <v>37</v>
      </c>
      <c r="T70" s="132" t="s">
        <v>37</v>
      </c>
      <c r="U70" s="132" t="s">
        <v>37</v>
      </c>
      <c r="V70" s="139"/>
      <c r="W70" s="132" t="s">
        <v>37</v>
      </c>
      <c r="X70" s="132" t="s">
        <v>37</v>
      </c>
      <c r="Y70" s="132" t="s">
        <v>37</v>
      </c>
      <c r="Z70" s="132" t="s">
        <v>37</v>
      </c>
      <c r="AA70" s="132" t="s">
        <v>37</v>
      </c>
      <c r="AB70" s="132" t="s">
        <v>37</v>
      </c>
      <c r="AC70" s="132" t="s">
        <v>37</v>
      </c>
      <c r="AD70" s="132" t="s">
        <v>37</v>
      </c>
      <c r="AE70" s="132" t="s">
        <v>37</v>
      </c>
      <c r="AF70" s="139"/>
      <c r="AG70" s="132" t="s">
        <v>37</v>
      </c>
      <c r="AH70" s="132" t="s">
        <v>37</v>
      </c>
      <c r="AI70" s="132" t="s">
        <v>37</v>
      </c>
      <c r="AJ70" s="132" t="s">
        <v>37</v>
      </c>
      <c r="AK70" s="132" t="s">
        <v>37</v>
      </c>
      <c r="AL70" s="132" t="s">
        <v>37</v>
      </c>
      <c r="AM70" s="132" t="s">
        <v>37</v>
      </c>
      <c r="AN70" s="132" t="s">
        <v>37</v>
      </c>
      <c r="AO70" s="132" t="s">
        <v>37</v>
      </c>
      <c r="AP70" s="139"/>
      <c r="AQ70" s="132" t="s">
        <v>37</v>
      </c>
      <c r="AR70" s="132" t="s">
        <v>37</v>
      </c>
      <c r="AS70" s="132" t="s">
        <v>37</v>
      </c>
      <c r="AT70" s="132" t="s">
        <v>37</v>
      </c>
      <c r="AU70" s="132" t="s">
        <v>37</v>
      </c>
      <c r="AV70" s="132" t="s">
        <v>37</v>
      </c>
      <c r="AW70" s="132" t="s">
        <v>37</v>
      </c>
      <c r="AX70" s="132" t="s">
        <v>37</v>
      </c>
      <c r="AY70" s="132" t="s">
        <v>37</v>
      </c>
      <c r="AZ70" s="132" t="s">
        <v>37</v>
      </c>
      <c r="BA70" s="139"/>
      <c r="BB70" s="132" t="s">
        <v>37</v>
      </c>
      <c r="BC70" s="132" t="s">
        <v>37</v>
      </c>
      <c r="BD70" s="132" t="s">
        <v>37</v>
      </c>
      <c r="BE70" s="132" t="s">
        <v>37</v>
      </c>
      <c r="BF70" s="132" t="s">
        <v>37</v>
      </c>
      <c r="BG70" s="132" t="s">
        <v>37</v>
      </c>
      <c r="BH70" s="132" t="s">
        <v>37</v>
      </c>
      <c r="BI70" s="132" t="s">
        <v>37</v>
      </c>
      <c r="BJ70" s="132" t="s">
        <v>37</v>
      </c>
      <c r="BK70" s="132" t="s">
        <v>37</v>
      </c>
      <c r="BL70" s="132" t="s">
        <v>37</v>
      </c>
      <c r="BM70" s="132" t="s">
        <v>37</v>
      </c>
      <c r="BN70" s="132" t="s">
        <v>37</v>
      </c>
      <c r="BO70" s="132" t="s">
        <v>37</v>
      </c>
      <c r="BP70" s="139"/>
      <c r="BQ70" s="132" t="s">
        <v>37</v>
      </c>
      <c r="BR70" s="132" t="s">
        <v>37</v>
      </c>
      <c r="BS70" s="132" t="s">
        <v>37</v>
      </c>
      <c r="BT70" s="132" t="s">
        <v>37</v>
      </c>
      <c r="BU70" s="132" t="s">
        <v>37</v>
      </c>
      <c r="BV70" s="132" t="s">
        <v>37</v>
      </c>
      <c r="BW70" s="132" t="s">
        <v>37</v>
      </c>
      <c r="BX70" s="132" t="s">
        <v>37</v>
      </c>
      <c r="BY70" s="132" t="s">
        <v>37</v>
      </c>
      <c r="BZ70" s="132" t="s">
        <v>37</v>
      </c>
      <c r="CA70" s="139"/>
      <c r="CB70" s="132" t="s">
        <v>37</v>
      </c>
      <c r="CC70" s="132" t="s">
        <v>37</v>
      </c>
      <c r="CD70" s="132" t="s">
        <v>37</v>
      </c>
      <c r="CE70" s="132" t="s">
        <v>37</v>
      </c>
      <c r="CF70" s="132" t="s">
        <v>37</v>
      </c>
      <c r="CG70" s="132" t="s">
        <v>37</v>
      </c>
      <c r="CH70" s="132" t="s">
        <v>37</v>
      </c>
      <c r="CI70" s="132" t="s">
        <v>37</v>
      </c>
      <c r="CJ70" s="132" t="s">
        <v>37</v>
      </c>
      <c r="CK70" s="139"/>
      <c r="CL70" s="132" t="s">
        <v>37</v>
      </c>
      <c r="CM70" s="132" t="s">
        <v>37</v>
      </c>
      <c r="CN70" s="132" t="s">
        <v>37</v>
      </c>
      <c r="CO70" s="132" t="s">
        <v>37</v>
      </c>
      <c r="CP70" s="132" t="s">
        <v>37</v>
      </c>
      <c r="CQ70" s="132" t="s">
        <v>37</v>
      </c>
      <c r="CR70" s="132" t="s">
        <v>37</v>
      </c>
      <c r="CS70" s="132" t="s">
        <v>37</v>
      </c>
      <c r="CT70" s="132" t="s">
        <v>37</v>
      </c>
      <c r="CU70" s="132" t="s">
        <v>37</v>
      </c>
      <c r="CV70" s="132" t="s">
        <v>37</v>
      </c>
      <c r="CW70" s="132" t="s">
        <v>37</v>
      </c>
      <c r="CX70" s="132" t="s">
        <v>37</v>
      </c>
      <c r="CY70" s="139"/>
      <c r="CZ70" s="109" t="s">
        <v>37</v>
      </c>
      <c r="DA70" s="109" t="s">
        <v>37</v>
      </c>
      <c r="DB70" s="109" t="s">
        <v>37</v>
      </c>
      <c r="DC70" s="109" t="s">
        <v>37</v>
      </c>
      <c r="DD70" s="109" t="s">
        <v>37</v>
      </c>
      <c r="DE70" s="109" t="s">
        <v>37</v>
      </c>
      <c r="DF70" s="109" t="s">
        <v>37</v>
      </c>
      <c r="DG70" s="109" t="s">
        <v>37</v>
      </c>
      <c r="DH70" s="109" t="s">
        <v>37</v>
      </c>
      <c r="DI70" s="109" t="s">
        <v>37</v>
      </c>
      <c r="DJ70" s="109" t="s">
        <v>37</v>
      </c>
      <c r="DK70" s="109" t="s">
        <v>37</v>
      </c>
      <c r="DL70" s="109" t="s">
        <v>37</v>
      </c>
      <c r="DM70" s="139"/>
      <c r="DN70" s="109" t="s">
        <v>37</v>
      </c>
      <c r="DO70" s="109"/>
      <c r="DP70" s="109" t="s">
        <v>37</v>
      </c>
      <c r="DQ70" s="133" t="s">
        <v>37</v>
      </c>
      <c r="DR70" s="109" t="s">
        <v>37</v>
      </c>
      <c r="DS70" s="133" t="s">
        <v>37</v>
      </c>
      <c r="DT70" s="109" t="s">
        <v>37</v>
      </c>
      <c r="DU70" s="109" t="s">
        <v>37</v>
      </c>
      <c r="DV70" s="132">
        <v>0.7</v>
      </c>
      <c r="DW70" s="132">
        <v>0.7</v>
      </c>
      <c r="DX70" s="132">
        <v>0.7</v>
      </c>
      <c r="DY70" s="132">
        <v>0.7</v>
      </c>
      <c r="DZ70" s="132">
        <v>0.7</v>
      </c>
      <c r="EA70" s="132">
        <v>0.7</v>
      </c>
      <c r="EB70" s="5">
        <f t="shared" si="62"/>
        <v>4.2</v>
      </c>
      <c r="EC70" s="5">
        <v>1</v>
      </c>
      <c r="ED70" s="5">
        <f t="shared" si="63"/>
        <v>8</v>
      </c>
      <c r="EE70" s="7">
        <f t="shared" si="64"/>
        <v>3.8</v>
      </c>
      <c r="EF70" s="40" t="str">
        <f t="shared" si="65"/>
        <v/>
      </c>
      <c r="EG70" s="41" t="str">
        <f t="shared" si="66"/>
        <v/>
      </c>
    </row>
    <row r="71" spans="1:137" x14ac:dyDescent="0.25">
      <c r="E71" s="1">
        <f t="shared" ref="E71:AJ71" si="77">SUM(E7:E70)</f>
        <v>6</v>
      </c>
      <c r="F71" s="1">
        <f t="shared" si="77"/>
        <v>3</v>
      </c>
      <c r="G71" s="1">
        <f t="shared" si="77"/>
        <v>18.5</v>
      </c>
      <c r="H71" s="1">
        <f t="shared" si="77"/>
        <v>12</v>
      </c>
      <c r="I71" s="1">
        <f t="shared" si="77"/>
        <v>15</v>
      </c>
      <c r="J71" s="1">
        <f t="shared" si="77"/>
        <v>15.5</v>
      </c>
      <c r="K71" s="1">
        <f t="shared" si="77"/>
        <v>14</v>
      </c>
      <c r="L71" s="1">
        <f t="shared" si="77"/>
        <v>16</v>
      </c>
      <c r="M71" s="1">
        <f t="shared" si="77"/>
        <v>0</v>
      </c>
      <c r="N71" s="1">
        <f t="shared" si="77"/>
        <v>12.5</v>
      </c>
      <c r="O71" s="1">
        <f t="shared" si="77"/>
        <v>13.5</v>
      </c>
      <c r="P71" s="1">
        <f t="shared" si="77"/>
        <v>11.5</v>
      </c>
      <c r="Q71" s="1">
        <f t="shared" si="77"/>
        <v>11.5</v>
      </c>
      <c r="R71" s="1">
        <f t="shared" si="77"/>
        <v>8</v>
      </c>
      <c r="S71" s="1">
        <f t="shared" si="77"/>
        <v>0</v>
      </c>
      <c r="T71" s="1">
        <f t="shared" si="77"/>
        <v>3</v>
      </c>
      <c r="U71" s="1">
        <f t="shared" si="77"/>
        <v>0</v>
      </c>
      <c r="V71" s="1">
        <f t="shared" si="77"/>
        <v>0</v>
      </c>
      <c r="W71" s="1">
        <f t="shared" si="77"/>
        <v>0</v>
      </c>
      <c r="X71" s="1">
        <f t="shared" si="77"/>
        <v>0</v>
      </c>
      <c r="Y71" s="1">
        <f t="shared" si="77"/>
        <v>11</v>
      </c>
      <c r="Z71" s="1">
        <f t="shared" si="77"/>
        <v>12</v>
      </c>
      <c r="AA71" s="1">
        <f t="shared" si="77"/>
        <v>12</v>
      </c>
      <c r="AB71" s="1">
        <f t="shared" si="77"/>
        <v>14</v>
      </c>
      <c r="AC71" s="1">
        <f t="shared" si="77"/>
        <v>11</v>
      </c>
      <c r="AD71" s="1">
        <f t="shared" si="77"/>
        <v>13</v>
      </c>
      <c r="AE71" s="1">
        <f t="shared" si="77"/>
        <v>18</v>
      </c>
      <c r="AF71" s="1">
        <f t="shared" si="77"/>
        <v>0</v>
      </c>
      <c r="AG71" s="1">
        <f t="shared" si="77"/>
        <v>20</v>
      </c>
      <c r="AH71" s="1">
        <f t="shared" si="77"/>
        <v>21</v>
      </c>
      <c r="AI71" s="1">
        <f t="shared" si="77"/>
        <v>20.5</v>
      </c>
      <c r="AJ71" s="1">
        <f t="shared" si="77"/>
        <v>19</v>
      </c>
      <c r="AK71" s="1">
        <f t="shared" ref="AK71:BO71" si="78">SUM(AK7:AK70)</f>
        <v>19</v>
      </c>
      <c r="AL71" s="1">
        <f t="shared" si="78"/>
        <v>20.5</v>
      </c>
      <c r="AM71" s="1">
        <f t="shared" si="78"/>
        <v>0</v>
      </c>
      <c r="AN71" s="1">
        <f t="shared" si="78"/>
        <v>0</v>
      </c>
      <c r="AO71" s="1">
        <f t="shared" si="78"/>
        <v>17.5</v>
      </c>
      <c r="AP71" s="1">
        <f t="shared" si="78"/>
        <v>0</v>
      </c>
      <c r="AQ71" s="1">
        <f t="shared" si="78"/>
        <v>19</v>
      </c>
      <c r="AR71" s="1">
        <f t="shared" si="78"/>
        <v>16.5</v>
      </c>
      <c r="AS71" s="1">
        <f t="shared" si="78"/>
        <v>13</v>
      </c>
      <c r="AT71" s="1">
        <f t="shared" si="78"/>
        <v>11</v>
      </c>
      <c r="AU71" s="1">
        <f t="shared" si="78"/>
        <v>11</v>
      </c>
      <c r="AV71" s="1">
        <f t="shared" si="78"/>
        <v>17</v>
      </c>
      <c r="AW71" s="1">
        <f t="shared" si="78"/>
        <v>15</v>
      </c>
      <c r="AX71" s="1">
        <f t="shared" si="78"/>
        <v>21</v>
      </c>
      <c r="AY71" s="1">
        <f t="shared" si="78"/>
        <v>24</v>
      </c>
      <c r="AZ71" s="1">
        <f t="shared" si="78"/>
        <v>11</v>
      </c>
      <c r="BA71" s="1">
        <f t="shared" si="78"/>
        <v>0</v>
      </c>
      <c r="BB71" s="1">
        <f t="shared" si="78"/>
        <v>16.5</v>
      </c>
      <c r="BC71" s="1">
        <f t="shared" si="78"/>
        <v>15</v>
      </c>
      <c r="BD71" s="1">
        <f t="shared" si="78"/>
        <v>14.25</v>
      </c>
      <c r="BE71" s="1">
        <f t="shared" si="78"/>
        <v>15.75</v>
      </c>
      <c r="BF71" s="1">
        <f t="shared" si="78"/>
        <v>17.25</v>
      </c>
      <c r="BG71" s="1">
        <f t="shared" si="78"/>
        <v>15</v>
      </c>
      <c r="BH71" s="1">
        <f t="shared" si="78"/>
        <v>15</v>
      </c>
      <c r="BI71" s="1">
        <f t="shared" si="78"/>
        <v>12.75</v>
      </c>
      <c r="BJ71" s="1">
        <f t="shared" si="78"/>
        <v>9.75</v>
      </c>
      <c r="BK71" s="1">
        <f t="shared" si="78"/>
        <v>18</v>
      </c>
      <c r="BL71" s="1">
        <f t="shared" si="78"/>
        <v>9.75</v>
      </c>
      <c r="BM71" s="1">
        <f t="shared" si="78"/>
        <v>12.75</v>
      </c>
      <c r="BN71" s="1">
        <f t="shared" si="78"/>
        <v>14.25</v>
      </c>
      <c r="BO71" s="1">
        <f t="shared" si="78"/>
        <v>15</v>
      </c>
      <c r="BQ71" s="1">
        <f t="shared" ref="BQ71:BZ71" si="79">SUM(BQ7:BQ70)</f>
        <v>14.25</v>
      </c>
      <c r="BR71" s="1">
        <f t="shared" si="79"/>
        <v>12.007999999999999</v>
      </c>
      <c r="BS71" s="1">
        <f t="shared" si="79"/>
        <v>12</v>
      </c>
      <c r="BT71" s="1">
        <f t="shared" si="79"/>
        <v>0</v>
      </c>
      <c r="BU71" s="1">
        <f t="shared" si="79"/>
        <v>0</v>
      </c>
      <c r="BV71" s="1">
        <f t="shared" si="79"/>
        <v>0</v>
      </c>
      <c r="BW71" s="1">
        <f t="shared" si="79"/>
        <v>0</v>
      </c>
      <c r="BX71" s="1">
        <f t="shared" si="79"/>
        <v>0</v>
      </c>
      <c r="BY71" s="1">
        <f t="shared" si="79"/>
        <v>0</v>
      </c>
      <c r="BZ71" s="1">
        <f t="shared" si="79"/>
        <v>0</v>
      </c>
      <c r="CB71" s="1">
        <f t="shared" ref="CB71:CJ71" si="80">SUM(CB7:CB70)</f>
        <v>14.699999999999994</v>
      </c>
      <c r="CC71" s="1">
        <f t="shared" si="80"/>
        <v>17.499999999999993</v>
      </c>
      <c r="CD71" s="1">
        <f t="shared" si="80"/>
        <v>19.599999999999991</v>
      </c>
      <c r="CE71" s="1">
        <f t="shared" si="80"/>
        <v>18.199999999999992</v>
      </c>
      <c r="CF71" s="1">
        <f t="shared" si="80"/>
        <v>16.099999999999994</v>
      </c>
      <c r="CG71" s="1">
        <f t="shared" si="80"/>
        <v>21.699999999999989</v>
      </c>
      <c r="CH71" s="1">
        <f t="shared" si="80"/>
        <v>23.099999999999987</v>
      </c>
      <c r="CI71" s="1">
        <f t="shared" si="80"/>
        <v>22.399999999999988</v>
      </c>
      <c r="CJ71" s="1">
        <f t="shared" si="80"/>
        <v>21.699999999999989</v>
      </c>
      <c r="CL71" s="1">
        <f t="shared" ref="CL71:EA71" si="81">SUM(CL7:CL70)</f>
        <v>22.399999999999988</v>
      </c>
      <c r="CM71" s="1">
        <f t="shared" si="81"/>
        <v>25.899999999999984</v>
      </c>
      <c r="CN71" s="1">
        <f t="shared" si="81"/>
        <v>27.999999999999982</v>
      </c>
      <c r="CO71" s="1">
        <f t="shared" si="81"/>
        <v>22.399999999999988</v>
      </c>
      <c r="CP71" s="1">
        <f t="shared" si="81"/>
        <v>25.899999999999984</v>
      </c>
      <c r="CQ71" s="1">
        <f t="shared" si="81"/>
        <v>28.699999999999982</v>
      </c>
      <c r="CR71" s="1">
        <f t="shared" si="81"/>
        <v>24.499999999999986</v>
      </c>
      <c r="CS71" s="1">
        <f t="shared" si="81"/>
        <v>25.199999999999985</v>
      </c>
      <c r="CT71" s="1">
        <f t="shared" si="81"/>
        <v>24.499999999999986</v>
      </c>
      <c r="CU71" s="1">
        <f t="shared" si="81"/>
        <v>0</v>
      </c>
      <c r="CV71" s="1">
        <f t="shared" si="81"/>
        <v>29.399999999999981</v>
      </c>
      <c r="CW71" s="1">
        <f t="shared" si="81"/>
        <v>22.399999999999988</v>
      </c>
      <c r="CX71" s="1">
        <f t="shared" si="81"/>
        <v>21.699999999999989</v>
      </c>
      <c r="CZ71" s="108">
        <f t="shared" ref="CZ71:DL71" si="82">SUM(CZ7:CZ70)</f>
        <v>24.499999999999986</v>
      </c>
      <c r="DA71" s="108">
        <f t="shared" si="82"/>
        <v>0</v>
      </c>
      <c r="DB71" s="1">
        <f t="shared" si="82"/>
        <v>0</v>
      </c>
      <c r="DC71" s="1">
        <f t="shared" si="82"/>
        <v>25.899999999999984</v>
      </c>
      <c r="DD71" s="1">
        <f t="shared" si="82"/>
        <v>25.899999999999984</v>
      </c>
      <c r="DE71" s="1">
        <f t="shared" si="82"/>
        <v>26.599999999999984</v>
      </c>
      <c r="DF71" s="1">
        <f t="shared" si="82"/>
        <v>29.399999999999981</v>
      </c>
      <c r="DG71" s="1">
        <f t="shared" si="82"/>
        <v>30.799999999999979</v>
      </c>
      <c r="DH71" s="1">
        <f t="shared" si="82"/>
        <v>27.299999999999983</v>
      </c>
      <c r="DI71" s="1">
        <f t="shared" si="82"/>
        <v>27.999999999999982</v>
      </c>
      <c r="DJ71" s="1">
        <f t="shared" si="82"/>
        <v>27.999999999999982</v>
      </c>
      <c r="DK71" s="1">
        <f t="shared" si="82"/>
        <v>28.699999999999982</v>
      </c>
      <c r="DL71" s="1">
        <f t="shared" si="82"/>
        <v>31.499999999999979</v>
      </c>
      <c r="DM71" s="1">
        <f t="shared" si="81"/>
        <v>0</v>
      </c>
      <c r="DN71" s="108">
        <f t="shared" si="81"/>
        <v>33.599999999999987</v>
      </c>
      <c r="DO71" s="108">
        <f t="shared" si="81"/>
        <v>32.199999999999982</v>
      </c>
      <c r="DP71" s="1">
        <f t="shared" si="81"/>
        <v>0</v>
      </c>
      <c r="DQ71" s="1">
        <f t="shared" si="81"/>
        <v>0</v>
      </c>
      <c r="DR71" s="1">
        <f t="shared" si="81"/>
        <v>0</v>
      </c>
      <c r="DS71" s="1">
        <f t="shared" si="81"/>
        <v>0</v>
      </c>
      <c r="DT71" s="1">
        <f t="shared" si="81"/>
        <v>27.999999999999982</v>
      </c>
      <c r="DU71" s="1">
        <f t="shared" si="81"/>
        <v>23.799999999999986</v>
      </c>
      <c r="DV71" s="1">
        <f t="shared" si="81"/>
        <v>22.399999999999988</v>
      </c>
      <c r="DW71" s="1">
        <f t="shared" si="81"/>
        <v>22.399999999999988</v>
      </c>
      <c r="DX71" s="1">
        <f t="shared" si="81"/>
        <v>18.899999999999991</v>
      </c>
      <c r="DY71" s="1">
        <f t="shared" si="81"/>
        <v>18.199999999999992</v>
      </c>
      <c r="DZ71" s="1">
        <f t="shared" ref="DZ71" si="83">SUM(DZ7:DZ70)</f>
        <v>21.699999999999989</v>
      </c>
      <c r="EA71" s="1">
        <f t="shared" si="81"/>
        <v>16.799999999999994</v>
      </c>
    </row>
    <row r="72" spans="1:137" x14ac:dyDescent="0.25">
      <c r="BA72" s="1">
        <f t="shared" ref="BA72" si="84">BA71/0.75</f>
        <v>0</v>
      </c>
      <c r="BB72" s="1">
        <f t="shared" ref="BB72:BO72" si="85">BB71/0.75</f>
        <v>22</v>
      </c>
      <c r="BC72" s="1">
        <f t="shared" si="85"/>
        <v>20</v>
      </c>
      <c r="BD72" s="1">
        <f t="shared" si="85"/>
        <v>19</v>
      </c>
      <c r="BE72" s="1">
        <f t="shared" si="85"/>
        <v>21</v>
      </c>
      <c r="BF72" s="1">
        <f t="shared" si="85"/>
        <v>23</v>
      </c>
      <c r="BG72" s="1">
        <f t="shared" si="85"/>
        <v>20</v>
      </c>
      <c r="BH72" s="1">
        <f t="shared" si="85"/>
        <v>20</v>
      </c>
      <c r="BI72" s="1">
        <f t="shared" si="85"/>
        <v>17</v>
      </c>
      <c r="BJ72" s="1">
        <f t="shared" si="85"/>
        <v>13</v>
      </c>
      <c r="BK72" s="1">
        <f t="shared" si="85"/>
        <v>24</v>
      </c>
      <c r="BL72" s="1">
        <f t="shared" si="85"/>
        <v>13</v>
      </c>
      <c r="BM72" s="1">
        <f t="shared" si="85"/>
        <v>17</v>
      </c>
      <c r="BN72" s="1">
        <f t="shared" si="85"/>
        <v>19</v>
      </c>
      <c r="BO72" s="1">
        <f t="shared" si="85"/>
        <v>20</v>
      </c>
      <c r="BQ72" s="1">
        <f t="shared" ref="BQ72:BR72" si="86">BQ71/0.75</f>
        <v>19</v>
      </c>
      <c r="BR72" s="1">
        <f t="shared" si="86"/>
        <v>16.010666666666665</v>
      </c>
      <c r="BS72" s="1">
        <f>BS71/0.75</f>
        <v>16</v>
      </c>
      <c r="BT72" s="1">
        <f t="shared" ref="BT72:BZ72" si="87">BT71/0.75</f>
        <v>0</v>
      </c>
      <c r="BU72" s="1">
        <f t="shared" si="87"/>
        <v>0</v>
      </c>
      <c r="BV72" s="1">
        <f t="shared" si="87"/>
        <v>0</v>
      </c>
      <c r="BW72" s="1">
        <f t="shared" si="87"/>
        <v>0</v>
      </c>
      <c r="BX72" s="1">
        <f t="shared" si="87"/>
        <v>0</v>
      </c>
      <c r="BY72" s="1">
        <f t="shared" si="87"/>
        <v>0</v>
      </c>
      <c r="BZ72" s="1">
        <f t="shared" si="87"/>
        <v>0</v>
      </c>
      <c r="CB72" s="1">
        <f t="shared" ref="CB72" si="88">CB71/0.7</f>
        <v>20.999999999999993</v>
      </c>
      <c r="CC72" s="1">
        <f t="shared" ref="CC72" si="89">CC71/0.7</f>
        <v>24.999999999999993</v>
      </c>
      <c r="CD72" s="1">
        <f t="shared" ref="CD72" si="90">CD71/0.7</f>
        <v>27.999999999999989</v>
      </c>
      <c r="CE72" s="1">
        <f t="shared" ref="CE72" si="91">CE71/0.7</f>
        <v>25.999999999999989</v>
      </c>
      <c r="CF72" s="1">
        <f t="shared" ref="CF72" si="92">CF71/0.7</f>
        <v>22.999999999999993</v>
      </c>
      <c r="CG72" s="1">
        <f t="shared" ref="CG72" si="93">CG71/0.7</f>
        <v>30.999999999999986</v>
      </c>
      <c r="CH72" s="1">
        <f t="shared" ref="CH72" si="94">CH71/0.7</f>
        <v>32.999999999999986</v>
      </c>
      <c r="CI72" s="1">
        <f t="shared" ref="CI72" si="95">CI71/0.7</f>
        <v>31.999999999999986</v>
      </c>
      <c r="CJ72" s="1">
        <f t="shared" ref="CJ72" si="96">CJ71/0.7</f>
        <v>30.999999999999986</v>
      </c>
      <c r="CK72" s="1">
        <f t="shared" ref="CK72" si="97">CK71/0.7</f>
        <v>0</v>
      </c>
      <c r="CL72" s="1">
        <f t="shared" ref="CL72" si="98">CL71/0.7</f>
        <v>31.999999999999986</v>
      </c>
      <c r="CM72" s="1">
        <f t="shared" ref="CM72" si="99">CM71/0.7</f>
        <v>36.999999999999979</v>
      </c>
      <c r="CN72" s="1">
        <f t="shared" ref="CN72" si="100">CN71/0.7</f>
        <v>39.999999999999979</v>
      </c>
      <c r="CO72" s="1">
        <f t="shared" ref="CO72" si="101">CO71/0.7</f>
        <v>31.999999999999986</v>
      </c>
      <c r="CP72" s="1">
        <f t="shared" ref="CP72" si="102">CP71/0.7</f>
        <v>36.999999999999979</v>
      </c>
      <c r="CQ72" s="1">
        <f t="shared" ref="CQ72" si="103">CQ71/0.7</f>
        <v>40.999999999999979</v>
      </c>
      <c r="CR72" s="1">
        <f t="shared" ref="CR72" si="104">CR71/0.7</f>
        <v>34.999999999999979</v>
      </c>
      <c r="CS72" s="1">
        <f t="shared" ref="CS72" si="105">CS71/0.7</f>
        <v>35.999999999999979</v>
      </c>
      <c r="CT72" s="1">
        <f t="shared" ref="CT72" si="106">CT71/0.7</f>
        <v>34.999999999999979</v>
      </c>
      <c r="CU72" s="1">
        <f t="shared" ref="CU72" si="107">CU71/0.7</f>
        <v>0</v>
      </c>
      <c r="CV72" s="1">
        <f t="shared" ref="CV72" si="108">CV71/0.7</f>
        <v>41.999999999999979</v>
      </c>
      <c r="CW72" s="1">
        <f t="shared" ref="CW72" si="109">CW71/0.7</f>
        <v>31.999999999999986</v>
      </c>
      <c r="CX72" s="1">
        <f t="shared" ref="CX72" si="110">CX71/0.7</f>
        <v>30.999999999999986</v>
      </c>
      <c r="CY72" s="1">
        <f t="shared" ref="CY72" si="111">CY71/0.7</f>
        <v>0</v>
      </c>
      <c r="CZ72" s="1">
        <f t="shared" ref="CZ72:DY72" si="112">CZ71/0.7</f>
        <v>34.999999999999979</v>
      </c>
      <c r="DA72" s="1">
        <f t="shared" si="112"/>
        <v>0</v>
      </c>
      <c r="DB72" s="1">
        <f t="shared" si="112"/>
        <v>0</v>
      </c>
      <c r="DC72" s="1">
        <f t="shared" si="112"/>
        <v>36.999999999999979</v>
      </c>
      <c r="DD72" s="1">
        <f t="shared" si="112"/>
        <v>36.999999999999979</v>
      </c>
      <c r="DE72" s="1">
        <f t="shared" si="112"/>
        <v>37.999999999999979</v>
      </c>
      <c r="DF72" s="1">
        <f t="shared" si="112"/>
        <v>41.999999999999979</v>
      </c>
      <c r="DG72" s="1">
        <f t="shared" si="112"/>
        <v>43.999999999999972</v>
      </c>
      <c r="DH72" s="1">
        <f t="shared" si="112"/>
        <v>38.999999999999979</v>
      </c>
      <c r="DI72" s="1">
        <f t="shared" si="112"/>
        <v>39.999999999999979</v>
      </c>
      <c r="DJ72" s="1">
        <f t="shared" si="112"/>
        <v>39.999999999999979</v>
      </c>
      <c r="DK72" s="1">
        <f t="shared" si="112"/>
        <v>40.999999999999979</v>
      </c>
      <c r="DL72" s="1">
        <f t="shared" si="112"/>
        <v>44.999999999999972</v>
      </c>
      <c r="DM72" s="1">
        <f t="shared" si="112"/>
        <v>0</v>
      </c>
      <c r="DN72" s="1">
        <f t="shared" si="112"/>
        <v>47.999999999999986</v>
      </c>
      <c r="DO72" s="1">
        <f t="shared" si="112"/>
        <v>45.999999999999979</v>
      </c>
      <c r="DP72" s="1">
        <f t="shared" si="112"/>
        <v>0</v>
      </c>
      <c r="DQ72" s="1">
        <f t="shared" si="112"/>
        <v>0</v>
      </c>
      <c r="DR72" s="1">
        <f t="shared" si="112"/>
        <v>0</v>
      </c>
      <c r="DS72" s="1">
        <f t="shared" si="112"/>
        <v>0</v>
      </c>
      <c r="DT72" s="1">
        <f t="shared" si="112"/>
        <v>39.999999999999979</v>
      </c>
      <c r="DU72" s="1">
        <f t="shared" si="112"/>
        <v>33.999999999999986</v>
      </c>
      <c r="DV72" s="1">
        <f t="shared" si="112"/>
        <v>31.999999999999986</v>
      </c>
      <c r="DW72" s="1">
        <f t="shared" si="112"/>
        <v>31.999999999999986</v>
      </c>
      <c r="DX72" s="1">
        <f t="shared" si="112"/>
        <v>26.999999999999989</v>
      </c>
      <c r="DY72" s="1">
        <f t="shared" si="112"/>
        <v>25.999999999999989</v>
      </c>
      <c r="DZ72" s="1">
        <f>DZ71/0.7</f>
        <v>30.999999999999986</v>
      </c>
      <c r="EA72" s="1">
        <f t="shared" ref="EA72" si="113">EA71/0.75</f>
        <v>22.399999999999991</v>
      </c>
    </row>
    <row r="73" spans="1:137" x14ac:dyDescent="0.25">
      <c r="A73" s="1" t="s">
        <v>291</v>
      </c>
    </row>
  </sheetData>
  <sortState xmlns:xlrd2="http://schemas.microsoft.com/office/spreadsheetml/2017/richdata2" ref="C7:U23">
    <sortCondition ref="E3"/>
  </sortState>
  <mergeCells count="12">
    <mergeCell ref="E3:L3"/>
    <mergeCell ref="N3:U3"/>
    <mergeCell ref="W3:AD3"/>
    <mergeCell ref="C1:EB1"/>
    <mergeCell ref="AG3:AO3"/>
    <mergeCell ref="DN3:EA3"/>
    <mergeCell ref="AQ3:AZ3"/>
    <mergeCell ref="BB3:BO3"/>
    <mergeCell ref="BQ3:BZ3"/>
    <mergeCell ref="CB3:CJ3"/>
    <mergeCell ref="CL3:CX3"/>
    <mergeCell ref="CZ3:DL3"/>
  </mergeCells>
  <conditionalFormatting sqref="EF7">
    <cfRule type="expression" dxfId="0" priority="1">
      <formula>EG6="no"</formula>
    </cfRule>
  </conditionalFormatting>
  <pageMargins left="0.25" right="0.25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قائمة الغيياب 2026</vt:lpstr>
      <vt:lpstr>قائمة المستحقات</vt:lpstr>
      <vt:lpstr>Kimono</vt:lpstr>
      <vt:lpstr>قائمة المعلومات</vt:lpstr>
      <vt:lpstr>قائمة الملفات</vt:lpstr>
      <vt:lpstr>Feuil1</vt:lpstr>
      <vt:lpstr>CLS Document</vt:lpstr>
      <vt:lpstr>Samurai Campetition</vt:lpstr>
      <vt:lpstr>KARATE TIME</vt:lpstr>
      <vt:lpstr>قائمة الغيياب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Soufiane Kerrouche</dc:creator>
  <cp:lastModifiedBy>Soufiane Kerrouche</cp:lastModifiedBy>
  <cp:lastPrinted>2025-04-13T20:31:14Z</cp:lastPrinted>
  <dcterms:created xsi:type="dcterms:W3CDTF">2025-02-11T19:47:31Z</dcterms:created>
  <dcterms:modified xsi:type="dcterms:W3CDTF">2026-04-28T21:20:57Z</dcterms:modified>
</cp:coreProperties>
</file>